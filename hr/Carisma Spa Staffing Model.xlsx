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on Plan" sheetId="1" state="visible" r:id="rId1"/>
    <sheet xmlns:r="http://schemas.openxmlformats.org/officeDocument/2006/relationships" name="Staffing Model" sheetId="2" state="visible" r:id="rId2"/>
    <sheet xmlns:r="http://schemas.openxmlformats.org/officeDocument/2006/relationships" name="Seasonal Plan" sheetId="3" state="visible" r:id="rId3"/>
    <sheet xmlns:r="http://schemas.openxmlformats.org/officeDocument/2006/relationships" name="Weekly Roster" sheetId="4" state="visible" r:id="rId4"/>
    <sheet xmlns:r="http://schemas.openxmlformats.org/officeDocument/2006/relationships" name="Workload Check" sheetId="5" state="visible" r:id="rId5"/>
    <sheet xmlns:r="http://schemas.openxmlformats.org/officeDocument/2006/relationships" name="Central Reception" sheetId="6" state="visible" r:id="rId6"/>
    <sheet xmlns:r="http://schemas.openxmlformats.org/officeDocument/2006/relationships" name="North Reception" sheetId="7" state="visible" r:id="rId7"/>
    <sheet xmlns:r="http://schemas.openxmlformats.org/officeDocument/2006/relationships" name="Belt Reception" sheetId="8" state="visible" r:id="rId8"/>
    <sheet xmlns:r="http://schemas.openxmlformats.org/officeDocument/2006/relationships" name="Regional Rotation" sheetId="9" state="visible" r:id="rId9"/>
    <sheet xmlns:r="http://schemas.openxmlformats.org/officeDocument/2006/relationships" name="Inter Monthly" sheetId="10" state="visible" r:id="rId10"/>
    <sheet xmlns:r="http://schemas.openxmlformats.org/officeDocument/2006/relationships" name="Hugos Monthly" sheetId="11" state="visible" r:id="rId11"/>
    <sheet xmlns:r="http://schemas.openxmlformats.org/officeDocument/2006/relationships" name="Ramla Monthly" sheetId="12" state="visible" r:id="rId12"/>
    <sheet xmlns:r="http://schemas.openxmlformats.org/officeDocument/2006/relationships" name="Hyatt Monthly" sheetId="13" state="visible" r:id="rId13"/>
    <sheet xmlns:r="http://schemas.openxmlformats.org/officeDocument/2006/relationships" name="Excelsior Monthly" sheetId="14" state="visible" r:id="rId14"/>
    <sheet xmlns:r="http://schemas.openxmlformats.org/officeDocument/2006/relationships" name="Riviera Monthly" sheetId="15" state="visible" r:id="rId15"/>
    <sheet xmlns:r="http://schemas.openxmlformats.org/officeDocument/2006/relationships" name="Sunny Coast Monthly" sheetId="16" state="visible" r:id="rId16"/>
    <sheet xmlns:r="http://schemas.openxmlformats.org/officeDocument/2006/relationships" name="Novotel Monthly" sheetId="17" state="visible" r:id="rId17"/>
    <sheet xmlns:r="http://schemas.openxmlformats.org/officeDocument/2006/relationships" name="Sliema Monthl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+#,##0;-#,##0;&quot;-&quot;"/>
    <numFmt numFmtId="166" formatCode="0.0%"/>
    <numFmt numFmtId="167" formatCode="#,##0;(#,##0);&quot;-&quot;"/>
    <numFmt numFmtId="168" formatCode="€#,##0"/>
    <numFmt numFmtId="169" formatCode="&quot;€&quot;#,##0"/>
  </numFmts>
  <fonts count="88">
    <font>
      <name val="Calibri"/>
      <color theme="1"/>
      <sz val="11"/>
      <scheme val="minor"/>
    </font>
    <font>
      <name val="Calibri"/>
      <color rgb="FF000000"/>
      <sz val="10"/>
      <scheme val="minor"/>
    </font>
    <font>
      <color rgb="FF000000"/>
      <sz val="10"/>
      <u val="single"/>
    </font>
    <font>
      <name val="Calibri"/>
      <b val="1"/>
      <color rgb="FFFFFFFF"/>
      <sz val="14"/>
    </font>
    <font/>
    <font>
      <name val="Calibri"/>
      <color theme="1"/>
      <sz val="11"/>
    </font>
    <font>
      <name val="Calibri"/>
      <b val="1"/>
      <color rgb="FFFFFFFF"/>
      <sz val="9"/>
    </font>
    <font>
      <name val="Calibri"/>
      <b val="1"/>
      <color rgb="FFFFFFFF"/>
      <sz val="10"/>
    </font>
    <font>
      <name val="Calibri"/>
      <b val="1"/>
      <color rgb="FFFFFFFF"/>
      <sz val="11"/>
      <scheme val="minor"/>
    </font>
    <font>
      <name val="Calibri"/>
      <b val="1"/>
      <color rgb="FFFFFFFF"/>
      <sz val="9"/>
      <scheme val="minor"/>
    </font>
    <font>
      <name val="Calibri"/>
      <b val="1"/>
      <color rgb="FF000000"/>
      <sz val="10"/>
    </font>
    <font>
      <name val="Calibri"/>
      <color rgb="FF0000FF"/>
      <sz val="10"/>
    </font>
    <font>
      <name val="Calibri"/>
      <color rgb="FF000000"/>
      <sz val="10"/>
    </font>
    <font>
      <name val="Calibri"/>
      <b val="1"/>
      <color rgb="FFFF0000"/>
      <sz val="10"/>
    </font>
    <font>
      <name val="Calibri"/>
      <color rgb="FF006400"/>
      <sz val="10"/>
    </font>
    <font>
      <name val="Calibri"/>
      <i val="1"/>
      <color rgb="FF444444"/>
      <sz val="9"/>
    </font>
    <font>
      <name val="Calibri"/>
      <color rgb="FF0000FF"/>
      <scheme val="minor"/>
    </font>
    <font>
      <name val="Calibri"/>
      <b val="1"/>
      <color rgb="FF000000"/>
      <scheme val="minor"/>
    </font>
    <font>
      <name val="Calibri"/>
      <b val="1"/>
      <color rgb="FF0000FF"/>
      <scheme val="minor"/>
    </font>
    <font>
      <name val="Calibri"/>
      <i val="1"/>
      <color rgb="FF000000"/>
      <sz val="9"/>
    </font>
    <font>
      <name val="Calibri"/>
      <b val="1"/>
      <color rgb="FF0000FF"/>
      <sz val="10"/>
    </font>
    <font>
      <name val="Calibri"/>
      <color rgb="FF000000"/>
      <sz val="9"/>
    </font>
    <font>
      <name val="Calibri"/>
      <b val="1"/>
      <color rgb="FF006400"/>
      <sz val="10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1B3A4B"/>
      <sz val="9"/>
    </font>
    <font>
      <name val="Calibri"/>
      <b val="1"/>
      <color rgb="FFA04000"/>
      <sz val="9"/>
    </font>
    <font>
      <name val="Calibri"/>
      <b val="1"/>
      <color rgb="FFC0392B"/>
      <sz val="9"/>
    </font>
    <font>
      <name val="Calibri"/>
      <b val="1"/>
      <color rgb="FF1B3A4B"/>
      <sz val="10"/>
    </font>
    <font>
      <name val="Calibri"/>
      <b val="1"/>
      <color rgb="FF1B7A3B"/>
      <sz val="10"/>
    </font>
    <font>
      <name val="Calibri"/>
      <color rgb="FFA04000"/>
      <sz val="8"/>
    </font>
    <font>
      <name val="Calibri"/>
      <b val="1"/>
      <color rgb="FFC0392B"/>
      <sz val="10"/>
    </font>
    <font>
      <name val="Calibri"/>
      <color rgb="FFC0392B"/>
      <sz val="8"/>
    </font>
    <font>
      <name val="Calibri"/>
      <color rgb="FF1B3A4B"/>
      <sz val="10"/>
    </font>
    <font>
      <name val="Calibri"/>
      <color rgb="FFA04000"/>
      <sz val="10"/>
    </font>
    <font>
      <name val="Calibri"/>
      <color rgb="FF000000"/>
      <sz val="8"/>
    </font>
    <font>
      <name val="Calibri"/>
      <b val="1"/>
      <color rgb="FF888888"/>
      <sz val="9"/>
    </font>
    <font>
      <name val="Calibri"/>
      <b val="1"/>
      <color rgb="FFFFFFFF"/>
      <sz val="11"/>
    </font>
    <font>
      <name val="Calibri"/>
      <b val="1"/>
      <color rgb="FFFFFFFF"/>
      <scheme val="minor"/>
    </font>
    <font>
      <name val="Calibri"/>
      <b val="1"/>
      <color rgb="FF888888"/>
      <sz val="10"/>
    </font>
    <font>
      <name val="Calibri"/>
      <color rgb="FF000000"/>
      <scheme val="minor"/>
    </font>
    <font>
      <name val="Calibri"/>
      <b val="1"/>
      <i val="1"/>
      <color rgb="FF1B3A4B"/>
      <sz val="9"/>
    </font>
    <font>
      <name val="Calibri"/>
      <b val="1"/>
      <color rgb="FF006400"/>
      <sz val="9"/>
    </font>
    <font>
      <name val="Calibri"/>
      <b val="1"/>
      <color rgb="FFFF0000"/>
      <sz val="9"/>
    </font>
    <font>
      <name val="Calibri"/>
      <b val="1"/>
      <color rgb="FFFF8C00"/>
      <sz val="9"/>
    </font>
    <font>
      <name val="Calibri"/>
      <b val="1"/>
      <color rgb="FF000000"/>
      <sz val="9"/>
    </font>
    <font>
      <name val="Calibri"/>
      <color rgb="FF555555"/>
      <sz val="8"/>
    </font>
    <font>
      <name val="Calibri"/>
      <i val="1"/>
      <color rgb="FF888888"/>
      <sz val="8"/>
    </font>
    <font>
      <name val="Calibri"/>
      <i val="1"/>
      <color rgb="FF666666"/>
      <sz val="8"/>
    </font>
    <font>
      <name val="Calibri"/>
      <color rgb="FF7D6608"/>
      <sz val="9"/>
    </font>
    <font>
      <name val="Calibri"/>
      <color rgb="FF008000"/>
      <sz val="9"/>
    </font>
    <font>
      <name val="Calibri"/>
      <b val="1"/>
      <color rgb="FF7D6608"/>
      <sz val="9"/>
    </font>
    <font>
      <name val="Calibri"/>
      <color rgb="FFBDC3C7"/>
      <sz val="9"/>
    </font>
    <font>
      <name val="Calibri"/>
      <b val="1"/>
      <color rgb="FFFFFFFF"/>
      <sz val="12"/>
    </font>
    <font>
      <name val="Calibri"/>
      <b val="1"/>
      <color rgb="FF2C5F77"/>
      <sz val="10"/>
    </font>
    <font>
      <name val="Calibri"/>
      <color rgb="FF2C5F77"/>
      <sz val="9"/>
    </font>
    <font>
      <name val="Calibri"/>
      <b val="1"/>
      <color rgb="FF2C5F77"/>
      <sz val="11"/>
    </font>
    <font>
      <name val="Calibri"/>
      <color rgb="FF666666"/>
      <sz val="8"/>
    </font>
    <font>
      <name val="Calibri"/>
      <color rgb="FF1B3A4B"/>
      <sz val="9"/>
    </font>
    <font>
      <name val="Calibri"/>
      <b val="1"/>
      <color rgb="FF1B3A4B"/>
      <sz val="11"/>
    </font>
    <font>
      <name val="Calibri"/>
      <b val="1"/>
      <color rgb="FF000000"/>
      <sz val="11"/>
    </font>
    <font>
      <name val="Calibri"/>
      <i val="1"/>
      <color rgb="FFFFFFFF"/>
      <sz val="9"/>
    </font>
    <font>
      <name val="Calibri"/>
      <b val="1"/>
      <color rgb="FFA04000"/>
      <sz val="10"/>
    </font>
    <font>
      <name val="Calibri"/>
      <color rgb="FFA04000"/>
      <sz val="9"/>
    </font>
    <font>
      <name val="Calibri"/>
      <b val="1"/>
      <color rgb="FFA04000"/>
      <sz val="11"/>
    </font>
    <font>
      <name val="Calibri"/>
      <b val="1"/>
      <color rgb="FF1B6CA8"/>
      <sz val="9"/>
    </font>
    <font>
      <name val="Calibri"/>
      <b val="1"/>
      <color rgb="FF6C757D"/>
      <sz val="9"/>
    </font>
    <font>
      <name val="Calibri"/>
      <b val="1"/>
      <color rgb="FF1B7A3B"/>
      <sz val="9"/>
    </font>
    <font>
      <name val="Calibri"/>
      <b val="1"/>
      <color rgb="FF7D3C98"/>
      <sz val="9"/>
    </font>
    <font>
      <name val="Calibri"/>
      <color rgb="FFB7950B"/>
      <sz val="9"/>
    </font>
    <font>
      <name val="Calibri"/>
      <color rgb="FF888888"/>
      <sz val="9"/>
    </font>
    <font>
      <name val="Calibri"/>
      <color rgb="FF1B7A3B"/>
      <sz val="9"/>
    </font>
    <font>
      <name val="Calibri"/>
      <color theme="1"/>
    </font>
    <font>
      <name val="Calibri"/>
      <b val="1"/>
      <color rgb="FF4A235A"/>
      <sz val="10"/>
    </font>
    <font>
      <name val="Calibri"/>
      <color rgb="FF4A235A"/>
      <sz val="9"/>
    </font>
    <font>
      <name val="Calibri"/>
      <color rgb="FF888888"/>
      <sz val="10"/>
    </font>
    <font>
      <name val="Calibri"/>
      <color rgb="FFFFFFFF"/>
      <sz val="10"/>
    </font>
    <font>
      <b val="1"/>
      <color rgb="00FFFFFF"/>
      <sz val="14"/>
    </font>
    <font>
      <i val="1"/>
      <color rgb="00FFFFFF"/>
      <sz val="9"/>
    </font>
    <font>
      <b val="1"/>
      <color rgb="00FFFFFF"/>
      <sz val="9"/>
    </font>
    <font>
      <b val="1"/>
      <color rgb="00FFFFFF"/>
      <sz val="8"/>
    </font>
    <font>
      <color rgb="005D6D7E"/>
      <sz val="9"/>
    </font>
    <font>
      <color rgb="00000000"/>
      <sz val="9"/>
    </font>
    <font>
      <b val="1"/>
      <color rgb="00000000"/>
      <sz val="9"/>
    </font>
    <font>
      <b val="1"/>
      <color rgb="00000000"/>
      <sz val="8"/>
    </font>
    <font>
      <i val="1"/>
      <color rgb="005D6D7E"/>
      <sz val="8"/>
    </font>
    <font>
      <b val="1"/>
      <color rgb="00FFFFFF"/>
      <sz val="10"/>
    </font>
    <font>
      <color rgb="00000000"/>
      <sz val="8"/>
    </font>
  </fonts>
  <fills count="60">
    <fill>
      <patternFill/>
    </fill>
    <fill>
      <patternFill patternType="lightGray"/>
    </fill>
    <fill>
      <patternFill patternType="solid">
        <fgColor rgb="FF1B3A4B"/>
        <bgColor rgb="FF1B3A4B"/>
      </patternFill>
    </fill>
    <fill>
      <patternFill patternType="solid">
        <fgColor rgb="FFB8943E"/>
        <bgColor rgb="FFB8943E"/>
      </patternFill>
    </fill>
    <fill>
      <patternFill patternType="solid">
        <fgColor rgb="FF2C5F77"/>
        <bgColor rgb="FF2C5F77"/>
      </patternFill>
    </fill>
    <fill>
      <patternFill patternType="solid">
        <fgColor rgb="FF1B7A3B"/>
        <bgColor rgb="FF1B7A3B"/>
      </patternFill>
    </fill>
    <fill>
      <patternFill patternType="solid">
        <fgColor rgb="FF4A235A"/>
        <bgColor rgb="FF4A235A"/>
      </patternFill>
    </fill>
    <fill>
      <patternFill patternType="solid">
        <fgColor rgb="FFD4EFDF"/>
        <bgColor rgb="FFD4EFDF"/>
      </patternFill>
    </fill>
    <fill>
      <patternFill patternType="solid">
        <fgColor rgb="FFEAF4FB"/>
        <bgColor rgb="FFEAF4FB"/>
      </patternFill>
    </fill>
    <fill>
      <patternFill patternType="solid">
        <fgColor rgb="FFE9F7EF"/>
        <bgColor rgb="FFE9F7EF"/>
      </patternFill>
    </fill>
    <fill>
      <patternFill patternType="solid">
        <fgColor rgb="FFF5EEF8"/>
        <bgColor rgb="FFF5EEF8"/>
      </patternFill>
    </fill>
    <fill>
      <patternFill patternType="solid">
        <fgColor rgb="FFD6EAF8"/>
        <bgColor rgb="FFD6EAF8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666666"/>
        <bgColor rgb="FF666666"/>
      </patternFill>
    </fill>
    <fill>
      <patternFill patternType="solid">
        <fgColor rgb="FFFAD7A0"/>
        <bgColor rgb="FFFAD7A0"/>
      </patternFill>
    </fill>
    <fill>
      <patternFill patternType="solid">
        <fgColor rgb="FFFADBD8"/>
        <bgColor rgb="FFFADBD8"/>
      </patternFill>
    </fill>
    <fill>
      <patternFill patternType="solid">
        <fgColor rgb="FFFFFFFF"/>
        <bgColor rgb="FFFFFFFF"/>
      </patternFill>
    </fill>
    <fill>
      <patternFill patternType="solid">
        <fgColor rgb="FFFCF3CF"/>
        <bgColor rgb="FFFCF3CF"/>
      </patternFill>
    </fill>
    <fill>
      <patternFill patternType="solid">
        <fgColor rgb="FF2196A6"/>
        <bgColor rgb="FF2196A6"/>
      </patternFill>
    </fill>
    <fill>
      <patternFill patternType="solid">
        <fgColor rgb="FF5C6BC0"/>
        <bgColor rgb="FF5C6BC0"/>
      </patternFill>
    </fill>
    <fill>
      <patternFill patternType="solid">
        <fgColor rgb="FFE8E8E8"/>
        <bgColor rgb="FFE8E8E8"/>
      </patternFill>
    </fill>
    <fill>
      <patternFill patternType="solid">
        <fgColor rgb="FF374F6B"/>
        <bgColor rgb="FF374F6B"/>
      </patternFill>
    </fill>
    <fill>
      <patternFill patternType="solid">
        <fgColor rgb="FF7D3C98"/>
        <bgColor rgb="FF7D3C98"/>
      </patternFill>
    </fill>
    <fill>
      <patternFill patternType="solid">
        <fgColor rgb="FFD6E4F0"/>
        <bgColor rgb="FFD6E4F0"/>
      </patternFill>
    </fill>
    <fill>
      <patternFill patternType="solid">
        <fgColor rgb="FFFFFDE7"/>
        <bgColor rgb="FFFFFDE7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D0D0D0"/>
        <bgColor rgb="FFD0D0D0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D5F5E3"/>
        <bgColor rgb="FFD5F5E3"/>
      </patternFill>
    </fill>
    <fill>
      <patternFill patternType="solid">
        <fgColor rgb="FFF2F3F4"/>
        <bgColor rgb="FFF2F3F4"/>
      </patternFill>
    </fill>
    <fill>
      <patternFill patternType="solid">
        <fgColor rgb="FFFAFAFA"/>
        <bgColor rgb="FFFAFAFA"/>
      </patternFill>
    </fill>
    <fill>
      <patternFill patternType="solid">
        <fgColor rgb="FFF4F6F7"/>
        <bgColor rgb="FFF4F6F7"/>
      </patternFill>
    </fill>
    <fill>
      <patternFill patternType="solid">
        <fgColor rgb="FFA9DFBF"/>
        <bgColor rgb="FFA9DFBF"/>
      </patternFill>
    </fill>
    <fill>
      <patternFill patternType="solid">
        <fgColor rgb="FFEAECEE"/>
        <bgColor rgb="FFEAECEE"/>
      </patternFill>
    </fill>
    <fill>
      <patternFill patternType="solid">
        <fgColor rgb="FFD5D8DC"/>
        <bgColor rgb="FFD5D8DC"/>
      </patternFill>
    </fill>
    <fill>
      <patternFill patternType="solid">
        <fgColor rgb="FF4A5568"/>
        <bgColor rgb="FF4A5568"/>
      </patternFill>
    </fill>
    <fill>
      <patternFill patternType="solid">
        <fgColor rgb="FFF8F9FA"/>
        <bgColor rgb="FFF8F9FA"/>
      </patternFill>
    </fill>
    <fill>
      <patternFill patternType="solid">
        <fgColor rgb="FFE8F4F8"/>
        <bgColor rgb="FFE8F4F8"/>
      </patternFill>
    </fill>
    <fill>
      <patternFill patternType="solid">
        <fgColor rgb="FFE8F8E8"/>
        <bgColor rgb="FFE8F8E8"/>
      </patternFill>
    </fill>
    <fill>
      <patternFill patternType="solid">
        <fgColor rgb="FFF8E8FF"/>
        <bgColor rgb="FFF8E8FF"/>
      </patternFill>
    </fill>
    <fill>
      <patternFill patternType="solid">
        <fgColor rgb="001B3A4B"/>
      </patternFill>
    </fill>
    <fill>
      <patternFill patternType="solid">
        <fgColor rgb="00B8943E"/>
      </patternFill>
    </fill>
    <fill>
      <patternFill patternType="solid">
        <fgColor rgb="002E86C1"/>
      </patternFill>
    </fill>
    <fill>
      <patternFill patternType="solid">
        <fgColor rgb="00FADBD8"/>
      </patternFill>
    </fill>
    <fill>
      <patternFill patternType="solid">
        <fgColor rgb="00D4EFDF"/>
      </patternFill>
    </fill>
    <fill>
      <patternFill patternType="solid">
        <fgColor rgb="00FAD7A0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5D6D7E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bottom style="thin">
        <color rgb="00D5D8DC"/>
      </bottom>
    </border>
  </borders>
  <cellStyleXfs count="1">
    <xf numFmtId="0" fontId="0" fillId="0" borderId="0"/>
  </cellStyleXfs>
  <cellXfs count="43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7" fillId="5" borderId="5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left" vertical="center"/>
    </xf>
    <xf numFmtId="3" fontId="11" fillId="7" borderId="4" applyAlignment="1" pivotButton="0" quotePrefix="0" xfId="0">
      <alignment horizontal="right" vertical="center"/>
    </xf>
    <xf numFmtId="0" fontId="10" fillId="7" borderId="4" applyAlignment="1" pivotButton="0" quotePrefix="0" xfId="0">
      <alignment horizontal="center" vertical="center"/>
    </xf>
    <xf numFmtId="3" fontId="12" fillId="8" borderId="4" applyAlignment="1" pivotButton="0" quotePrefix="0" xfId="0">
      <alignment horizontal="right" vertical="center"/>
    </xf>
    <xf numFmtId="0" fontId="11" fillId="8" borderId="4" applyAlignment="1" pivotButton="0" quotePrefix="0" xfId="0">
      <alignment horizontal="center" vertical="center"/>
    </xf>
    <xf numFmtId="164" fontId="11" fillId="8" borderId="4" applyAlignment="1" pivotButton="0" quotePrefix="0" xfId="0">
      <alignment horizontal="right" vertical="center"/>
    </xf>
    <xf numFmtId="3" fontId="13" fillId="8" borderId="4" applyAlignment="1" pivotButton="0" quotePrefix="0" xfId="0">
      <alignment horizontal="right" vertical="center"/>
    </xf>
    <xf numFmtId="3" fontId="12" fillId="9" borderId="4" applyAlignment="1" pivotButton="0" quotePrefix="0" xfId="0">
      <alignment horizontal="right" vertical="center"/>
    </xf>
    <xf numFmtId="0" fontId="11" fillId="9" borderId="4" applyAlignment="1" pivotButton="0" quotePrefix="0" xfId="0">
      <alignment horizontal="center" vertical="center"/>
    </xf>
    <xf numFmtId="164" fontId="11" fillId="9" borderId="4" applyAlignment="1" pivotButton="0" quotePrefix="0" xfId="0">
      <alignment horizontal="right" vertical="center"/>
    </xf>
    <xf numFmtId="3" fontId="13" fillId="9" borderId="4" applyAlignment="1" pivotButton="0" quotePrefix="0" xfId="0">
      <alignment horizontal="right" vertical="center"/>
    </xf>
    <xf numFmtId="165" fontId="14" fillId="10" borderId="4" applyAlignment="1" pivotButton="0" quotePrefix="0" xfId="0">
      <alignment horizontal="right" vertical="center"/>
    </xf>
    <xf numFmtId="0" fontId="15" fillId="7" borderId="4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 vertical="center" wrapText="1"/>
    </xf>
    <xf numFmtId="3" fontId="1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left" vertical="center"/>
    </xf>
    <xf numFmtId="3" fontId="11" fillId="11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 vertical="center"/>
    </xf>
    <xf numFmtId="0" fontId="15" fillId="11" borderId="4" applyAlignment="1" pivotButton="0" quotePrefix="0" xfId="0">
      <alignment horizontal="left" vertical="center" wrapText="1"/>
    </xf>
    <xf numFmtId="0" fontId="10" fillId="12" borderId="4" applyAlignment="1" pivotButton="0" quotePrefix="0" xfId="0">
      <alignment horizontal="left" vertical="center"/>
    </xf>
    <xf numFmtId="3" fontId="11" fillId="12" borderId="4" applyAlignment="1" pivotButton="0" quotePrefix="0" xfId="0">
      <alignment horizontal="right" vertical="center"/>
    </xf>
    <xf numFmtId="0" fontId="10" fillId="12" borderId="4" applyAlignment="1" pivotButton="0" quotePrefix="0" xfId="0">
      <alignment horizontal="center" vertical="center"/>
    </xf>
    <xf numFmtId="0" fontId="15" fillId="12" borderId="4" applyAlignment="1" pivotButton="0" quotePrefix="0" xfId="0">
      <alignment horizontal="left" vertical="center" wrapText="1"/>
    </xf>
    <xf numFmtId="0" fontId="10" fillId="13" borderId="4" applyAlignment="1" pivotButton="0" quotePrefix="0" xfId="0">
      <alignment horizontal="left" vertical="center"/>
    </xf>
    <xf numFmtId="3" fontId="11" fillId="13" borderId="4" applyAlignment="1" pivotButton="0" quotePrefix="0" xfId="0">
      <alignment horizontal="right" vertical="center"/>
    </xf>
    <xf numFmtId="0" fontId="10" fillId="13" borderId="4" applyAlignment="1" pivotButton="0" quotePrefix="0" xfId="0">
      <alignment horizontal="center" vertical="center"/>
    </xf>
    <xf numFmtId="0" fontId="15" fillId="13" borderId="4" applyAlignment="1" pivotButton="0" quotePrefix="0" xfId="0">
      <alignment horizontal="left" vertical="center" wrapText="1"/>
    </xf>
    <xf numFmtId="3" fontId="11" fillId="8" borderId="4" applyAlignment="1" pivotButton="0" quotePrefix="0" xfId="0">
      <alignment horizontal="right" vertical="center"/>
    </xf>
    <xf numFmtId="3" fontId="11" fillId="9" borderId="4" applyAlignment="1" pivotButton="0" quotePrefix="0" xfId="0">
      <alignment horizontal="right" vertical="center"/>
    </xf>
    <xf numFmtId="3" fontId="7" fillId="2" borderId="4" applyAlignment="1" pivotButton="0" quotePrefix="0" xfId="0">
      <alignment horizontal="right" vertical="center"/>
    </xf>
    <xf numFmtId="0" fontId="5" fillId="2" borderId="4" pivotButton="0" quotePrefix="0" xfId="0"/>
    <xf numFmtId="0" fontId="5" fillId="0" borderId="4" pivotButton="0" quotePrefix="0" xfId="0"/>
    <xf numFmtId="3" fontId="17" fillId="0" borderId="0" applyAlignment="1" pivotButton="0" quotePrefix="0" xfId="0">
      <alignment horizontal="right" vertical="center"/>
    </xf>
    <xf numFmtId="49" fontId="17" fillId="0" borderId="0" applyAlignment="1" pivotButton="0" quotePrefix="0" xfId="0">
      <alignment horizontal="center" vertical="center" wrapText="1"/>
    </xf>
    <xf numFmtId="164" fontId="17" fillId="0" borderId="0" applyAlignment="1" pivotButton="0" quotePrefix="0" xfId="0">
      <alignment horizontal="center" vertical="center" wrapText="1"/>
    </xf>
    <xf numFmtId="3" fontId="18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center" vertical="center" wrapText="1"/>
    </xf>
    <xf numFmtId="167" fontId="17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1" fillId="0" borderId="4" applyAlignment="1" pivotButton="0" quotePrefix="0" xfId="0">
      <alignment horizontal="right" vertical="center"/>
    </xf>
    <xf numFmtId="0" fontId="19" fillId="0" borderId="5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6" fillId="4" borderId="8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11" fillId="0" borderId="4" applyAlignment="1" pivotButton="0" quotePrefix="0" xfId="0">
      <alignment horizontal="right" vertical="center"/>
    </xf>
    <xf numFmtId="0" fontId="19" fillId="0" borderId="4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12" fillId="7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2" fillId="11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2" fillId="12" borderId="4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12" fillId="13" borderId="4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25" fillId="11" borderId="5" applyAlignment="1" pivotButton="0" quotePrefix="0" xfId="0">
      <alignment horizontal="center" vertical="center"/>
    </xf>
    <xf numFmtId="0" fontId="26" fillId="15" borderId="5" applyAlignment="1" pivotButton="0" quotePrefix="0" xfId="0">
      <alignment horizontal="center" vertical="center"/>
    </xf>
    <xf numFmtId="0" fontId="27" fillId="16" borderId="5" applyAlignment="1" pivotButton="0" quotePrefix="0" xfId="0">
      <alignment horizontal="center" vertical="center"/>
    </xf>
    <xf numFmtId="0" fontId="5" fillId="17" borderId="4" pivotButton="0" quotePrefix="0" xfId="0"/>
    <xf numFmtId="0" fontId="6" fillId="2" borderId="4" applyAlignment="1" pivotButton="0" quotePrefix="0" xfId="0">
      <alignment horizontal="center" vertical="center"/>
    </xf>
    <xf numFmtId="0" fontId="28" fillId="11" borderId="4" applyAlignment="1" pivotButton="0" quotePrefix="0" xfId="0">
      <alignment horizontal="left" vertical="center"/>
    </xf>
    <xf numFmtId="0" fontId="25" fillId="11" borderId="4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168" fontId="29" fillId="7" borderId="4" applyAlignment="1" pivotButton="0" quotePrefix="0" xfId="0">
      <alignment horizontal="right" vertical="center"/>
    </xf>
    <xf numFmtId="0" fontId="28" fillId="18" borderId="4" applyAlignment="1" pivotButton="0" quotePrefix="0" xfId="0">
      <alignment horizontal="left" vertical="center"/>
    </xf>
    <xf numFmtId="0" fontId="30" fillId="18" borderId="4" applyAlignment="1" pivotButton="0" quotePrefix="0" xfId="0">
      <alignment horizontal="left" vertical="center" wrapText="1"/>
    </xf>
    <xf numFmtId="168" fontId="31" fillId="16" borderId="4" applyAlignment="1" pivotButton="0" quotePrefix="0" xfId="0">
      <alignment horizontal="right" vertical="center"/>
    </xf>
    <xf numFmtId="0" fontId="31" fillId="18" borderId="4" applyAlignment="1" pivotButton="0" quotePrefix="0" xfId="0">
      <alignment horizontal="left" vertical="center"/>
    </xf>
    <xf numFmtId="0" fontId="27" fillId="16" borderId="4" applyAlignment="1" pivotButton="0" quotePrefix="0" xfId="0">
      <alignment horizontal="center" vertical="center"/>
    </xf>
    <xf numFmtId="0" fontId="32" fillId="16" borderId="4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right" vertical="center"/>
    </xf>
    <xf numFmtId="0" fontId="24" fillId="3" borderId="5" applyAlignment="1" pivotButton="0" quotePrefix="0" xfId="0">
      <alignment horizontal="left" vertical="center"/>
    </xf>
    <xf numFmtId="0" fontId="6" fillId="4" borderId="4" applyAlignment="1" pivotButton="0" quotePrefix="0" xfId="0">
      <alignment horizontal="center" vertical="center"/>
    </xf>
    <xf numFmtId="0" fontId="5" fillId="17" borderId="5" pivotButton="0" quotePrefix="0" xfId="0"/>
    <xf numFmtId="0" fontId="28" fillId="8" borderId="4" applyAlignment="1" pivotButton="0" quotePrefix="0" xfId="0">
      <alignment horizontal="left" vertical="center"/>
    </xf>
    <xf numFmtId="3" fontId="33" fillId="8" borderId="4" applyAlignment="1" pivotButton="0" quotePrefix="0" xfId="0">
      <alignment horizontal="right" vertical="center"/>
    </xf>
    <xf numFmtId="3" fontId="34" fillId="15" borderId="4" applyAlignment="1" pivotButton="0" quotePrefix="0" xfId="0">
      <alignment horizontal="right" vertical="center"/>
    </xf>
    <xf numFmtId="0" fontId="34" fillId="8" borderId="4" applyAlignment="1" pivotButton="0" quotePrefix="0" xfId="0">
      <alignment horizontal="left" vertical="center"/>
    </xf>
    <xf numFmtId="0" fontId="12" fillId="8" borderId="4" applyAlignment="1" pivotButton="0" quotePrefix="0" xfId="0">
      <alignment horizontal="center" vertical="center"/>
    </xf>
    <xf numFmtId="0" fontId="35" fillId="8" borderId="4" applyAlignment="1" pivotButton="0" quotePrefix="0" xfId="0">
      <alignment horizontal="left" vertical="center" wrapText="1"/>
    </xf>
    <xf numFmtId="0" fontId="28" fillId="16" borderId="4" applyAlignment="1" pivotButton="0" quotePrefix="0" xfId="0">
      <alignment horizontal="left" vertical="center"/>
    </xf>
    <xf numFmtId="3" fontId="33" fillId="16" borderId="4" applyAlignment="1" pivotButton="0" quotePrefix="0" xfId="0">
      <alignment horizontal="right" vertical="center"/>
    </xf>
    <xf numFmtId="0" fontId="34" fillId="16" borderId="4" applyAlignment="1" pivotButton="0" quotePrefix="0" xfId="0">
      <alignment horizontal="left" vertical="center"/>
    </xf>
    <xf numFmtId="0" fontId="12" fillId="16" borderId="4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6" fillId="19" borderId="5" applyAlignment="1" pivotButton="0" quotePrefix="0" xfId="0">
      <alignment horizontal="left" vertical="center"/>
    </xf>
    <xf numFmtId="0" fontId="6" fillId="20" borderId="5" applyAlignment="1" pivotButton="0" quotePrefix="0" xfId="0">
      <alignment horizontal="left" vertical="center"/>
    </xf>
    <xf numFmtId="0" fontId="36" fillId="21" borderId="5" applyAlignment="1" pivotButton="0" quotePrefix="0" xfId="0">
      <alignment horizontal="left" vertical="center"/>
    </xf>
    <xf numFmtId="0" fontId="37" fillId="2" borderId="5" applyAlignment="1" pivotButton="0" quotePrefix="0" xfId="0">
      <alignment horizontal="center" vertical="center"/>
    </xf>
    <xf numFmtId="0" fontId="7" fillId="22" borderId="4" applyAlignment="1" pivotButton="0" quotePrefix="0" xfId="0">
      <alignment horizontal="center" vertical="center"/>
    </xf>
    <xf numFmtId="0" fontId="7" fillId="23" borderId="4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 wrapText="1"/>
    </xf>
    <xf numFmtId="0" fontId="10" fillId="24" borderId="4" applyAlignment="1" pivotButton="0" quotePrefix="0" xfId="0">
      <alignment horizontal="left" vertical="center"/>
    </xf>
    <xf numFmtId="0" fontId="12" fillId="24" borderId="4" applyAlignment="1" pivotButton="0" quotePrefix="0" xfId="0">
      <alignment horizontal="left" vertical="center"/>
    </xf>
    <xf numFmtId="0" fontId="39" fillId="21" borderId="4" applyAlignment="1" pivotButton="0" quotePrefix="0" xfId="0">
      <alignment horizontal="center" vertical="center"/>
    </xf>
    <xf numFmtId="0" fontId="7" fillId="19" borderId="4" applyAlignment="1" pivotButton="0" quotePrefix="0" xfId="0">
      <alignment horizontal="center" vertical="center"/>
    </xf>
    <xf numFmtId="0" fontId="11" fillId="25" borderId="4" applyAlignment="1" pivotButton="0" quotePrefix="0" xfId="0">
      <alignment horizontal="center" vertical="center"/>
    </xf>
    <xf numFmtId="0" fontId="5" fillId="26" borderId="0" pivotButton="0" quotePrefix="0" xfId="0"/>
    <xf numFmtId="0" fontId="40" fillId="0" borderId="0" pivotButton="0" quotePrefix="0" xfId="0"/>
    <xf numFmtId="0" fontId="5" fillId="27" borderId="0" applyAlignment="1" pivotButton="0" quotePrefix="0" xfId="0">
      <alignment horizontal="center"/>
    </xf>
    <xf numFmtId="0" fontId="5" fillId="28" borderId="0" applyAlignment="1" pivotButton="0" quotePrefix="0" xfId="0">
      <alignment horizontal="center"/>
    </xf>
    <xf numFmtId="0" fontId="5" fillId="29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0" fillId="17" borderId="4" applyAlignment="1" pivotButton="0" quotePrefix="0" xfId="0">
      <alignment horizontal="left" vertical="center"/>
    </xf>
    <xf numFmtId="0" fontId="12" fillId="17" borderId="4" applyAlignment="1" pivotButton="0" quotePrefix="0" xfId="0">
      <alignment horizontal="left" vertical="center"/>
    </xf>
    <xf numFmtId="0" fontId="7" fillId="20" borderId="4" applyAlignment="1" pivotButton="0" quotePrefix="0" xfId="0">
      <alignment horizontal="center" vertical="center"/>
    </xf>
    <xf numFmtId="0" fontId="39" fillId="30" borderId="4" applyAlignment="1" pivotButton="0" quotePrefix="0" xfId="0">
      <alignment horizontal="center" vertical="center"/>
    </xf>
    <xf numFmtId="0" fontId="41" fillId="0" borderId="5" applyAlignment="1" pivotButton="0" quotePrefix="0" xfId="0">
      <alignment horizontal="left" vertical="center"/>
    </xf>
    <xf numFmtId="0" fontId="42" fillId="31" borderId="4" applyAlignment="1" pivotButton="0" quotePrefix="0" xfId="0">
      <alignment horizontal="center" vertical="center"/>
    </xf>
    <xf numFmtId="0" fontId="43" fillId="32" borderId="4" applyAlignment="1" pivotButton="0" quotePrefix="0" xfId="0">
      <alignment horizontal="center" vertical="center"/>
    </xf>
    <xf numFmtId="0" fontId="44" fillId="3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left" vertical="center" wrapText="1"/>
    </xf>
    <xf numFmtId="0" fontId="21" fillId="13" borderId="4" applyAlignment="1" pivotButton="0" quotePrefix="0" xfId="0">
      <alignment horizontal="center" vertical="center" wrapText="1"/>
    </xf>
    <xf numFmtId="0" fontId="21" fillId="13" borderId="4" applyAlignment="1" pivotButton="0" quotePrefix="0" xfId="0">
      <alignment horizontal="left" vertical="center" wrapText="1"/>
    </xf>
    <xf numFmtId="0" fontId="45" fillId="12" borderId="4" applyAlignment="1" pivotButton="0" quotePrefix="0" xfId="0">
      <alignment horizontal="left" vertical="center" wrapText="1"/>
    </xf>
    <xf numFmtId="0" fontId="21" fillId="12" borderId="4" applyAlignment="1" pivotButton="0" quotePrefix="0" xfId="0">
      <alignment horizontal="center" vertical="center" wrapText="1"/>
    </xf>
    <xf numFmtId="0" fontId="21" fillId="12" borderId="4" applyAlignment="1" pivotButton="0" quotePrefix="0" xfId="0">
      <alignment horizontal="left" vertical="center" wrapText="1"/>
    </xf>
    <xf numFmtId="0" fontId="45" fillId="11" borderId="4" applyAlignment="1" pivotButton="0" quotePrefix="0" xfId="0">
      <alignment horizontal="left" vertical="center" wrapText="1"/>
    </xf>
    <xf numFmtId="0" fontId="21" fillId="11" borderId="4" applyAlignment="1" pivotButton="0" quotePrefix="0" xfId="0">
      <alignment horizontal="center" vertical="center" wrapText="1"/>
    </xf>
    <xf numFmtId="0" fontId="21" fillId="11" borderId="4" applyAlignment="1" pivotButton="0" quotePrefix="0" xfId="0">
      <alignment horizontal="left" vertical="center" wrapText="1"/>
    </xf>
    <xf numFmtId="0" fontId="45" fillId="34" borderId="4" applyAlignment="1" pivotButton="0" quotePrefix="0" xfId="0">
      <alignment horizontal="left" vertical="center" wrapText="1"/>
    </xf>
    <xf numFmtId="0" fontId="21" fillId="34" borderId="4" applyAlignment="1" pivotButton="0" quotePrefix="0" xfId="0">
      <alignment horizontal="center" vertical="center" wrapText="1"/>
    </xf>
    <xf numFmtId="0" fontId="21" fillId="34" borderId="4" applyAlignment="1" pivotButton="0" quotePrefix="0" xfId="0">
      <alignment horizontal="left" vertical="center" wrapText="1"/>
    </xf>
    <xf numFmtId="0" fontId="23" fillId="2" borderId="9" applyAlignment="1" pivotButton="0" quotePrefix="0" xfId="0">
      <alignment horizontal="left" vertical="center" wrapText="1"/>
    </xf>
    <xf numFmtId="0" fontId="4" fillId="0" borderId="10" pivotButton="0" quotePrefix="0" xfId="0"/>
    <xf numFmtId="0" fontId="4" fillId="0" borderId="11" pivotButton="0" quotePrefix="0" xfId="0"/>
    <xf numFmtId="0" fontId="46" fillId="35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left" vertical="center" wrapText="1"/>
    </xf>
    <xf numFmtId="0" fontId="10" fillId="17" borderId="8" applyAlignment="1" pivotButton="0" quotePrefix="0" xfId="0">
      <alignment horizontal="left" vertical="center"/>
    </xf>
    <xf numFmtId="169" fontId="11" fillId="8" borderId="12" applyAlignment="1" pivotButton="0" quotePrefix="0" xfId="0">
      <alignment horizontal="center" vertical="center"/>
    </xf>
    <xf numFmtId="0" fontId="47" fillId="36" borderId="1" applyAlignment="1" pivotButton="0" quotePrefix="0" xfId="0">
      <alignment horizontal="left" vertical="center"/>
    </xf>
    <xf numFmtId="1" fontId="11" fillId="8" borderId="12" applyAlignment="1" pivotButton="0" quotePrefix="0" xfId="0">
      <alignment horizontal="center" vertical="center"/>
    </xf>
    <xf numFmtId="9" fontId="11" fillId="8" borderId="12" applyAlignment="1" pivotButton="0" quotePrefix="0" xfId="0">
      <alignment horizontal="center" vertical="center"/>
    </xf>
    <xf numFmtId="0" fontId="7" fillId="2" borderId="9" applyAlignment="1" pivotButton="0" quotePrefix="0" xfId="0">
      <alignment horizontal="left" vertical="center" wrapText="1"/>
    </xf>
    <xf numFmtId="0" fontId="6" fillId="2" borderId="12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/>
    </xf>
    <xf numFmtId="0" fontId="6" fillId="2" borderId="12" applyAlignment="1" pivotButton="0" quotePrefix="0" xfId="0">
      <alignment horizontal="left" vertical="center"/>
    </xf>
    <xf numFmtId="0" fontId="10" fillId="37" borderId="12" applyAlignment="1" pivotButton="0" quotePrefix="0" xfId="0">
      <alignment horizontal="left" vertical="center"/>
    </xf>
    <xf numFmtId="1" fontId="12" fillId="8" borderId="12" applyAlignment="1" pivotButton="0" quotePrefix="0" xfId="0">
      <alignment horizontal="center" vertical="center"/>
    </xf>
    <xf numFmtId="164" fontId="10" fillId="8" borderId="12" applyAlignment="1" pivotButton="0" quotePrefix="0" xfId="0">
      <alignment horizontal="center" vertical="center"/>
    </xf>
    <xf numFmtId="0" fontId="48" fillId="36" borderId="12" applyAlignment="1" pivotButton="0" quotePrefix="0" xfId="0">
      <alignment horizontal="left" vertical="center" wrapText="1"/>
    </xf>
    <xf numFmtId="1" fontId="13" fillId="16" borderId="12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 wrapText="1"/>
    </xf>
    <xf numFmtId="164" fontId="12" fillId="38" borderId="12" applyAlignment="1" pivotButton="0" quotePrefix="0" xfId="0">
      <alignment horizontal="center" vertical="center"/>
    </xf>
    <xf numFmtId="164" fontId="12" fillId="34" borderId="12" applyAlignment="1" pivotButton="0" quotePrefix="0" xfId="0">
      <alignment horizontal="center" vertical="center"/>
    </xf>
    <xf numFmtId="164" fontId="10" fillId="38" borderId="12" applyAlignment="1" pivotButton="0" quotePrefix="0" xfId="0">
      <alignment horizontal="center" vertical="center"/>
    </xf>
    <xf numFmtId="0" fontId="49" fillId="36" borderId="12" applyAlignment="1" pivotButton="0" quotePrefix="0" xfId="0">
      <alignment horizontal="left" vertical="center" wrapText="1"/>
    </xf>
    <xf numFmtId="164" fontId="12" fillId="12" borderId="12" applyAlignment="1" pivotButton="0" quotePrefix="0" xfId="0">
      <alignment horizontal="center" vertical="center"/>
    </xf>
    <xf numFmtId="164" fontId="10" fillId="34" borderId="12" applyAlignment="1" pivotButton="0" quotePrefix="0" xfId="0">
      <alignment horizontal="center" vertical="center"/>
    </xf>
    <xf numFmtId="0" fontId="50" fillId="36" borderId="12" applyAlignment="1" pivotButton="0" quotePrefix="0" xfId="0">
      <alignment horizontal="left" vertical="center" wrapText="1"/>
    </xf>
    <xf numFmtId="164" fontId="10" fillId="15" borderId="12" applyAlignment="1" pivotButton="0" quotePrefix="0" xfId="0">
      <alignment horizontal="center" vertical="center"/>
    </xf>
    <xf numFmtId="0" fontId="45" fillId="35" borderId="12" applyAlignment="1" pivotButton="0" quotePrefix="0" xfId="0">
      <alignment horizontal="center" vertical="center"/>
    </xf>
    <xf numFmtId="0" fontId="21" fillId="35" borderId="9" applyAlignment="1" pivotButton="0" quotePrefix="0" xfId="0">
      <alignment horizontal="left" vertical="center"/>
    </xf>
    <xf numFmtId="0" fontId="45" fillId="34" borderId="12" applyAlignment="1" pivotButton="0" quotePrefix="0" xfId="0">
      <alignment horizontal="center" vertical="center"/>
    </xf>
    <xf numFmtId="0" fontId="21" fillId="34" borderId="9" applyAlignment="1" pivotButton="0" quotePrefix="0" xfId="0">
      <alignment horizontal="left" vertical="center"/>
    </xf>
    <xf numFmtId="0" fontId="45" fillId="38" borderId="12" applyAlignment="1" pivotButton="0" quotePrefix="0" xfId="0">
      <alignment horizontal="center" vertical="center"/>
    </xf>
    <xf numFmtId="0" fontId="21" fillId="38" borderId="9" applyAlignment="1" pivotButton="0" quotePrefix="0" xfId="0">
      <alignment horizontal="left" vertical="center"/>
    </xf>
    <xf numFmtId="0" fontId="45" fillId="12" borderId="12" applyAlignment="1" pivotButton="0" quotePrefix="0" xfId="0">
      <alignment horizontal="center" vertical="center"/>
    </xf>
    <xf numFmtId="0" fontId="21" fillId="12" borderId="9" applyAlignment="1" pivotButton="0" quotePrefix="0" xfId="0">
      <alignment horizontal="left" vertical="center"/>
    </xf>
    <xf numFmtId="0" fontId="45" fillId="15" borderId="12" applyAlignment="1" pivotButton="0" quotePrefix="0" xfId="0">
      <alignment horizontal="center" vertical="center"/>
    </xf>
    <xf numFmtId="0" fontId="21" fillId="15" borderId="9" applyAlignment="1" pivotButton="0" quotePrefix="0" xfId="0">
      <alignment horizontal="left" vertical="center"/>
    </xf>
    <xf numFmtId="0" fontId="43" fillId="16" borderId="12" applyAlignment="1" pivotButton="0" quotePrefix="0" xfId="0">
      <alignment horizontal="center" vertical="center"/>
    </xf>
    <xf numFmtId="0" fontId="43" fillId="16" borderId="9" applyAlignment="1" pivotButton="0" quotePrefix="0" xfId="0">
      <alignment horizontal="left" vertical="center"/>
    </xf>
    <xf numFmtId="0" fontId="23" fillId="2" borderId="9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51" fillId="15" borderId="12" applyAlignment="1" pivotButton="0" quotePrefix="0" xfId="0">
      <alignment horizontal="center" vertical="center"/>
    </xf>
    <xf numFmtId="0" fontId="52" fillId="39" borderId="12" applyAlignment="1" pivotButton="0" quotePrefix="0" xfId="0">
      <alignment horizontal="center" vertical="center"/>
    </xf>
    <xf numFmtId="0" fontId="52" fillId="40" borderId="12" applyAlignment="1" pivotButton="0" quotePrefix="0" xfId="0">
      <alignment horizontal="center" vertical="center"/>
    </xf>
    <xf numFmtId="0" fontId="5" fillId="37" borderId="12" pivotButton="0" quotePrefix="0" xfId="0"/>
    <xf numFmtId="0" fontId="6" fillId="3" borderId="12" applyAlignment="1" pivotButton="0" quotePrefix="0" xfId="0">
      <alignment horizontal="center" vertical="center" wrapText="1"/>
    </xf>
    <xf numFmtId="0" fontId="6" fillId="41" borderId="12" applyAlignment="1" pivotButton="0" quotePrefix="0" xfId="0">
      <alignment horizontal="center" vertical="center" wrapText="1"/>
    </xf>
    <xf numFmtId="0" fontId="53" fillId="2" borderId="9" applyAlignment="1" pivotButton="0" quotePrefix="0" xfId="0">
      <alignment horizontal="left" vertical="center"/>
    </xf>
    <xf numFmtId="0" fontId="53" fillId="2" borderId="10" applyAlignment="1" pivotButton="0" quotePrefix="0" xfId="0">
      <alignment horizontal="left" vertical="center"/>
    </xf>
    <xf numFmtId="0" fontId="53" fillId="2" borderId="11" applyAlignment="1" pivotButton="0" quotePrefix="0" xfId="0">
      <alignment horizontal="left" vertical="center"/>
    </xf>
    <xf numFmtId="0" fontId="54" fillId="8" borderId="12" applyAlignment="1" pivotButton="0" quotePrefix="0" xfId="0">
      <alignment horizontal="left" vertical="center"/>
    </xf>
    <xf numFmtId="0" fontId="55" fillId="8" borderId="12" applyAlignment="1" pivotButton="0" quotePrefix="0" xfId="0">
      <alignment horizontal="left" vertical="center"/>
    </xf>
    <xf numFmtId="168" fontId="20" fillId="8" borderId="12" applyAlignment="1" pivotButton="0" quotePrefix="0" xfId="0">
      <alignment horizontal="right" vertical="center"/>
    </xf>
    <xf numFmtId="0" fontId="56" fillId="8" borderId="12" applyAlignment="1" pivotButton="0" quotePrefix="0" xfId="0">
      <alignment horizontal="center" vertical="center"/>
    </xf>
    <xf numFmtId="168" fontId="12" fillId="8" borderId="12" applyAlignment="1" pivotButton="0" quotePrefix="0" xfId="0">
      <alignment horizontal="right" vertical="center"/>
    </xf>
    <xf numFmtId="0" fontId="57" fillId="36" borderId="12" applyAlignment="1" pivotButton="0" quotePrefix="0" xfId="0">
      <alignment horizontal="left" vertical="center" wrapText="1"/>
    </xf>
    <xf numFmtId="0" fontId="28" fillId="11" borderId="12" applyAlignment="1" pivotButton="0" quotePrefix="0" xfId="0">
      <alignment horizontal="left" vertical="center"/>
    </xf>
    <xf numFmtId="0" fontId="58" fillId="11" borderId="12" applyAlignment="1" pivotButton="0" quotePrefix="0" xfId="0">
      <alignment horizontal="left" vertical="center"/>
    </xf>
    <xf numFmtId="168" fontId="20" fillId="11" borderId="12" applyAlignment="1" pivotButton="0" quotePrefix="0" xfId="0">
      <alignment horizontal="right" vertical="center"/>
    </xf>
    <xf numFmtId="0" fontId="59" fillId="11" borderId="12" applyAlignment="1" pivotButton="0" quotePrefix="0" xfId="0">
      <alignment horizontal="center" vertical="center"/>
    </xf>
    <xf numFmtId="168" fontId="12" fillId="11" borderId="12" applyAlignment="1" pivotButton="0" quotePrefix="0" xfId="0">
      <alignment horizontal="right" vertical="center"/>
    </xf>
    <xf numFmtId="0" fontId="10" fillId="42" borderId="12" applyAlignment="1" pivotButton="0" quotePrefix="0" xfId="0">
      <alignment horizontal="left" vertical="center"/>
    </xf>
    <xf numFmtId="0" fontId="21" fillId="42" borderId="12" applyAlignment="1" pivotButton="0" quotePrefix="0" xfId="0">
      <alignment horizontal="left" vertical="center"/>
    </xf>
    <xf numFmtId="168" fontId="20" fillId="42" borderId="12" applyAlignment="1" pivotButton="0" quotePrefix="0" xfId="0">
      <alignment horizontal="right" vertical="center"/>
    </xf>
    <xf numFmtId="0" fontId="60" fillId="42" borderId="12" applyAlignment="1" pivotButton="0" quotePrefix="0" xfId="0">
      <alignment horizontal="center" vertical="center"/>
    </xf>
    <xf numFmtId="168" fontId="12" fillId="42" borderId="12" applyAlignment="1" pivotButton="0" quotePrefix="0" xfId="0">
      <alignment horizontal="right" vertical="center"/>
    </xf>
    <xf numFmtId="0" fontId="6" fillId="3" borderId="12" applyAlignment="1" pivotButton="0" quotePrefix="0" xfId="0">
      <alignment horizontal="left" vertical="center"/>
    </xf>
    <xf numFmtId="0" fontId="61" fillId="3" borderId="12" applyAlignment="1" pivotButton="0" quotePrefix="0" xfId="0">
      <alignment horizontal="left" vertical="center"/>
    </xf>
    <xf numFmtId="0" fontId="5" fillId="3" borderId="12" pivotButton="0" quotePrefix="0" xfId="0"/>
    <xf numFmtId="0" fontId="28" fillId="11" borderId="12" applyAlignment="1" pivotButton="0" quotePrefix="0" xfId="0">
      <alignment horizontal="center" vertical="center"/>
    </xf>
    <xf numFmtId="0" fontId="29" fillId="7" borderId="12" applyAlignment="1" pivotButton="0" quotePrefix="0" xfId="0">
      <alignment horizontal="center" vertical="center"/>
    </xf>
    <xf numFmtId="168" fontId="7" fillId="3" borderId="12" applyAlignment="1" pivotButton="0" quotePrefix="0" xfId="0">
      <alignment horizontal="right" vertical="center"/>
    </xf>
    <xf numFmtId="0" fontId="53" fillId="4" borderId="9" applyAlignment="1" pivotButton="0" quotePrefix="0" xfId="0">
      <alignment horizontal="left" vertical="center"/>
    </xf>
    <xf numFmtId="0" fontId="62" fillId="15" borderId="12" applyAlignment="1" pivotButton="0" quotePrefix="0" xfId="0">
      <alignment horizontal="left" vertical="center"/>
    </xf>
    <xf numFmtId="0" fontId="63" fillId="15" borderId="12" applyAlignment="1" pivotButton="0" quotePrefix="0" xfId="0">
      <alignment horizontal="left" vertical="center"/>
    </xf>
    <xf numFmtId="168" fontId="20" fillId="15" borderId="12" applyAlignment="1" pivotButton="0" quotePrefix="0" xfId="0">
      <alignment horizontal="right" vertical="center"/>
    </xf>
    <xf numFmtId="0" fontId="64" fillId="15" borderId="12" applyAlignment="1" pivotButton="0" quotePrefix="0" xfId="0">
      <alignment horizontal="center" vertical="center"/>
    </xf>
    <xf numFmtId="168" fontId="12" fillId="15" borderId="12" applyAlignment="1" pivotButton="0" quotePrefix="0" xfId="0">
      <alignment horizontal="right" vertical="center"/>
    </xf>
    <xf numFmtId="0" fontId="53" fillId="6" borderId="9" applyAlignment="1" pivotButton="0" quotePrefix="0" xfId="0">
      <alignment horizontal="left" vertical="center"/>
    </xf>
    <xf numFmtId="0" fontId="23" fillId="2" borderId="10" applyAlignment="1" pivotButton="0" quotePrefix="0" xfId="0">
      <alignment horizontal="left" vertical="center"/>
    </xf>
    <xf numFmtId="0" fontId="23" fillId="2" borderId="11" applyAlignment="1" pivotButton="0" quotePrefix="0" xfId="0">
      <alignment horizontal="left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53" fillId="4" borderId="10" applyAlignment="1" pivotButton="0" quotePrefix="0" xfId="0">
      <alignment horizontal="left" vertical="center"/>
    </xf>
    <xf numFmtId="0" fontId="53" fillId="4" borderId="11" applyAlignment="1" pivotButton="0" quotePrefix="0" xfId="0">
      <alignment horizontal="left" vertical="center"/>
    </xf>
    <xf numFmtId="0" fontId="53" fillId="6" borderId="10" applyAlignment="1" pivotButton="0" quotePrefix="0" xfId="0">
      <alignment horizontal="left" vertical="center"/>
    </xf>
    <xf numFmtId="0" fontId="53" fillId="6" borderId="11" applyAlignment="1" pivotButton="0" quotePrefix="0" xfId="0">
      <alignment horizontal="left" vertical="center"/>
    </xf>
    <xf numFmtId="0" fontId="31" fillId="16" borderId="12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12" fillId="7" borderId="4" applyAlignment="1" pivotButton="0" quotePrefix="0" xfId="0">
      <alignment horizontal="left" vertical="center"/>
    </xf>
    <xf numFmtId="168" fontId="11" fillId="7" borderId="4" applyAlignment="1" pivotButton="0" quotePrefix="0" xfId="0">
      <alignment horizontal="right" vertical="center"/>
    </xf>
    <xf numFmtId="0" fontId="12" fillId="11" borderId="4" applyAlignment="1" pivotButton="0" quotePrefix="0" xfId="0">
      <alignment horizontal="left" vertical="center"/>
    </xf>
    <xf numFmtId="168" fontId="11" fillId="11" borderId="4" applyAlignment="1" pivotButton="0" quotePrefix="0" xfId="0">
      <alignment horizontal="right" vertical="center"/>
    </xf>
    <xf numFmtId="0" fontId="12" fillId="12" borderId="4" applyAlignment="1" pivotButton="0" quotePrefix="0" xfId="0">
      <alignment horizontal="left" vertical="center"/>
    </xf>
    <xf numFmtId="168" fontId="11" fillId="12" borderId="4" applyAlignment="1" pivotButton="0" quotePrefix="0" xfId="0">
      <alignment horizontal="right" vertical="center"/>
    </xf>
    <xf numFmtId="0" fontId="6" fillId="5" borderId="4" applyAlignment="1" pivotButton="0" quotePrefix="0" xfId="0">
      <alignment horizontal="center" vertical="center"/>
    </xf>
    <xf numFmtId="0" fontId="21" fillId="24" borderId="4" applyAlignment="1" pivotButton="0" quotePrefix="0" xfId="0">
      <alignment horizontal="left" vertical="center"/>
    </xf>
    <xf numFmtId="0" fontId="21" fillId="24" borderId="4" applyAlignment="1" pivotButton="0" quotePrefix="0" xfId="0">
      <alignment horizontal="center" vertical="center"/>
    </xf>
    <xf numFmtId="0" fontId="21" fillId="17" borderId="4" applyAlignment="1" pivotButton="0" quotePrefix="0" xfId="0">
      <alignment horizontal="left" vertical="center"/>
    </xf>
    <xf numFmtId="0" fontId="21" fillId="17" borderId="4" applyAlignment="1" pivotButton="0" quotePrefix="0" xfId="0">
      <alignment horizontal="center" vertical="center"/>
    </xf>
    <xf numFmtId="0" fontId="28" fillId="34" borderId="4" applyAlignment="1" pivotButton="0" quotePrefix="0" xfId="0">
      <alignment horizontal="left" vertical="center"/>
    </xf>
    <xf numFmtId="0" fontId="28" fillId="34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left" vertical="center"/>
    </xf>
    <xf numFmtId="0" fontId="6" fillId="22" borderId="4" applyAlignment="1" pivotButton="0" quotePrefix="0" xfId="0">
      <alignment horizontal="center" vertical="center"/>
    </xf>
    <xf numFmtId="0" fontId="6" fillId="23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/>
    </xf>
    <xf numFmtId="0" fontId="65" fillId="43" borderId="4" applyAlignment="1" pivotButton="0" quotePrefix="0" xfId="0">
      <alignment horizontal="center" vertical="center"/>
    </xf>
    <xf numFmtId="0" fontId="66" fillId="42" borderId="4" applyAlignment="1" pivotButton="0" quotePrefix="0" xfId="0">
      <alignment horizontal="center" vertical="center"/>
    </xf>
    <xf numFmtId="0" fontId="67" fillId="44" borderId="4" applyAlignment="1" pivotButton="0" quotePrefix="0" xfId="0">
      <alignment horizontal="center" vertical="center"/>
    </xf>
    <xf numFmtId="0" fontId="68" fillId="45" borderId="4" applyAlignment="1" pivotButton="0" quotePrefix="0" xfId="0">
      <alignment horizontal="center" vertical="center"/>
    </xf>
    <xf numFmtId="0" fontId="69" fillId="12" borderId="4" applyAlignment="1" pivotButton="0" quotePrefix="0" xfId="0">
      <alignment horizontal="center" vertical="center" wrapText="1"/>
    </xf>
    <xf numFmtId="0" fontId="70" fillId="21" borderId="4" applyAlignment="1" pivotButton="0" quotePrefix="0" xfId="0">
      <alignment horizontal="center" vertical="center" wrapText="1"/>
    </xf>
    <xf numFmtId="0" fontId="71" fillId="7" borderId="4" applyAlignment="1" pivotButton="0" quotePrefix="0" xfId="0">
      <alignment horizontal="center" vertical="center" wrapText="1"/>
    </xf>
    <xf numFmtId="0" fontId="45" fillId="8" borderId="4" applyAlignment="1" pivotButton="0" quotePrefix="0" xfId="0">
      <alignment horizontal="left" vertical="center" wrapText="1"/>
    </xf>
    <xf numFmtId="0" fontId="21" fillId="8" borderId="4" applyAlignment="1" pivotButton="0" quotePrefix="0" xfId="0">
      <alignment horizontal="left" vertical="center" wrapText="1"/>
    </xf>
    <xf numFmtId="0" fontId="21" fillId="8" borderId="4" applyAlignment="1" pivotButton="0" quotePrefix="0" xfId="0">
      <alignment horizontal="center" vertical="center" wrapText="1"/>
    </xf>
    <xf numFmtId="0" fontId="45" fillId="10" borderId="4" applyAlignment="1" pivotButton="0" quotePrefix="0" xfId="0">
      <alignment horizontal="left" vertical="center" wrapText="1"/>
    </xf>
    <xf numFmtId="0" fontId="21" fillId="10" borderId="4" applyAlignment="1" pivotButton="0" quotePrefix="0" xfId="0">
      <alignment horizontal="left" vertical="center" wrapText="1"/>
    </xf>
    <xf numFmtId="0" fontId="21" fillId="10" borderId="4" applyAlignment="1" pivotButton="0" quotePrefix="0" xfId="0">
      <alignment horizontal="center" vertical="center" wrapText="1"/>
    </xf>
    <xf numFmtId="0" fontId="6" fillId="22" borderId="5" applyAlignment="1" pivotButton="0" quotePrefix="0" xfId="0">
      <alignment horizontal="center" vertical="center"/>
    </xf>
    <xf numFmtId="0" fontId="10" fillId="24" borderId="4" applyAlignment="1" pivotButton="0" quotePrefix="0" xfId="0">
      <alignment horizontal="center" vertical="center"/>
    </xf>
    <xf numFmtId="0" fontId="21" fillId="24" borderId="5" applyAlignment="1" pivotButton="0" quotePrefix="0" xfId="0">
      <alignment horizontal="left" vertical="center" wrapText="1"/>
    </xf>
    <xf numFmtId="0" fontId="10" fillId="17" borderId="4" applyAlignment="1" pivotButton="0" quotePrefix="0" xfId="0">
      <alignment horizontal="center" vertical="center"/>
    </xf>
    <xf numFmtId="0" fontId="21" fillId="17" borderId="5" applyAlignment="1" pivotButton="0" quotePrefix="0" xfId="0">
      <alignment horizontal="left" vertical="center" wrapText="1"/>
    </xf>
    <xf numFmtId="0" fontId="53" fillId="2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4" borderId="8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left" vertical="center"/>
    </xf>
    <xf numFmtId="3" fontId="11" fillId="17" borderId="4" applyAlignment="1" pivotButton="0" quotePrefix="0" xfId="0">
      <alignment horizontal="right" vertical="center"/>
    </xf>
    <xf numFmtId="0" fontId="11" fillId="17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left" vertical="center"/>
    </xf>
    <xf numFmtId="3" fontId="7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6" fillId="22" borderId="8" applyAlignment="1" pivotButton="0" quotePrefix="0" xfId="0">
      <alignment horizontal="center" vertical="center"/>
    </xf>
    <xf numFmtId="0" fontId="6" fillId="23" borderId="8" applyAlignment="1" pivotButton="0" quotePrefix="0" xfId="0">
      <alignment horizontal="center" vertical="center"/>
    </xf>
    <xf numFmtId="0" fontId="10" fillId="24" borderId="8" applyAlignment="1" pivotButton="0" quotePrefix="0" xfId="0">
      <alignment horizontal="left" vertical="center"/>
    </xf>
    <xf numFmtId="0" fontId="12" fillId="24" borderId="8" applyAlignment="1" pivotButton="0" quotePrefix="0" xfId="0">
      <alignment horizontal="left" vertical="center"/>
    </xf>
    <xf numFmtId="0" fontId="11" fillId="25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left" vertical="center"/>
    </xf>
    <xf numFmtId="0" fontId="72" fillId="0" borderId="0" pivotButton="0" quotePrefix="0" xfId="0"/>
    <xf numFmtId="0" fontId="6" fillId="3" borderId="5" applyAlignment="1" pivotButton="0" quotePrefix="0" xfId="0">
      <alignment horizontal="left" vertical="center"/>
    </xf>
    <xf numFmtId="3" fontId="12" fillId="11" borderId="4" applyAlignment="1" pivotButton="0" quotePrefix="0" xfId="0">
      <alignment horizontal="right" vertical="center"/>
    </xf>
    <xf numFmtId="3" fontId="28" fillId="11" borderId="4" applyAlignment="1" pivotButton="0" quotePrefix="0" xfId="0">
      <alignment horizontal="right" vertical="center"/>
    </xf>
    <xf numFmtId="3" fontId="33" fillId="11" borderId="4" applyAlignment="1" pivotButton="0" quotePrefix="0" xfId="0">
      <alignment horizontal="right" vertical="center"/>
    </xf>
    <xf numFmtId="164" fontId="29" fillId="7" borderId="4" applyAlignment="1" pivotButton="0" quotePrefix="0" xfId="0">
      <alignment horizontal="right" vertical="center"/>
    </xf>
    <xf numFmtId="3" fontId="29" fillId="7" borderId="4" applyAlignment="1" pivotButton="0" quotePrefix="0" xfId="0">
      <alignment horizontal="right" vertical="center"/>
    </xf>
    <xf numFmtId="3" fontId="62" fillId="15" borderId="4" applyAlignment="1" pivotButton="0" quotePrefix="0" xfId="0">
      <alignment horizontal="right" vertical="center"/>
    </xf>
    <xf numFmtId="164" fontId="28" fillId="11" borderId="4" applyAlignment="1" pivotButton="0" quotePrefix="0" xfId="0">
      <alignment horizontal="right" vertical="center"/>
    </xf>
    <xf numFmtId="0" fontId="28" fillId="15" borderId="4" applyAlignment="1" pivotButton="0" quotePrefix="0" xfId="0">
      <alignment horizontal="left" vertical="center"/>
    </xf>
    <xf numFmtId="3" fontId="12" fillId="15" borderId="4" applyAlignment="1" pivotButton="0" quotePrefix="0" xfId="0">
      <alignment horizontal="right" vertical="center"/>
    </xf>
    <xf numFmtId="3" fontId="28" fillId="15" borderId="4" applyAlignment="1" pivotButton="0" quotePrefix="0" xfId="0">
      <alignment horizontal="right" vertical="center"/>
    </xf>
    <xf numFmtId="164" fontId="28" fillId="15" borderId="4" applyAlignment="1" pivotButton="0" quotePrefix="0" xfId="0">
      <alignment horizontal="right" vertical="center"/>
    </xf>
    <xf numFmtId="0" fontId="72" fillId="2" borderId="4" pivotButton="0" quotePrefix="0" xfId="0"/>
    <xf numFmtId="0" fontId="6" fillId="4" borderId="5" applyAlignment="1" pivotButton="0" quotePrefix="0" xfId="0">
      <alignment horizontal="left" vertical="center"/>
    </xf>
    <xf numFmtId="0" fontId="72" fillId="17" borderId="4" pivotButton="0" quotePrefix="0" xfId="0"/>
    <xf numFmtId="0" fontId="33" fillId="11" borderId="4" applyAlignment="1" pivotButton="0" quotePrefix="0" xfId="0">
      <alignment horizontal="left" vertical="center"/>
    </xf>
    <xf numFmtId="0" fontId="58" fillId="11" borderId="4" applyAlignment="1" pivotButton="0" quotePrefix="0" xfId="0">
      <alignment horizontal="left" vertical="center"/>
    </xf>
    <xf numFmtId="0" fontId="72" fillId="11" borderId="4" pivotButton="0" quotePrefix="0" xfId="0"/>
    <xf numFmtId="0" fontId="62" fillId="15" borderId="4" applyAlignment="1" pivotButton="0" quotePrefix="0" xfId="0">
      <alignment horizontal="left" vertical="center"/>
    </xf>
    <xf numFmtId="0" fontId="34" fillId="15" borderId="4" applyAlignment="1" pivotButton="0" quotePrefix="0" xfId="0">
      <alignment horizontal="left" vertical="center"/>
    </xf>
    <xf numFmtId="0" fontId="63" fillId="15" borderId="4" applyAlignment="1" pivotButton="0" quotePrefix="0" xfId="0">
      <alignment horizontal="left" vertical="center"/>
    </xf>
    <xf numFmtId="0" fontId="72" fillId="15" borderId="4" pivotButton="0" quotePrefix="0" xfId="0"/>
    <xf numFmtId="0" fontId="5" fillId="35" borderId="4" pivotButton="0" quotePrefix="0" xfId="0"/>
    <xf numFmtId="0" fontId="28" fillId="11" borderId="4" applyAlignment="1" pivotButton="0" quotePrefix="0" xfId="0">
      <alignment horizontal="center" vertical="center"/>
    </xf>
    <xf numFmtId="166" fontId="29" fillId="7" borderId="4" applyAlignment="1" pivotButton="0" quotePrefix="0" xfId="0">
      <alignment horizontal="right" vertical="center"/>
    </xf>
    <xf numFmtId="0" fontId="21" fillId="11" borderId="4" applyAlignment="1" pivotButton="0" quotePrefix="0" xfId="0">
      <alignment horizontal="center" vertical="center"/>
    </xf>
    <xf numFmtId="0" fontId="67" fillId="7" borderId="4" applyAlignment="1" pivotButton="0" quotePrefix="0" xfId="0">
      <alignment horizontal="left" vertical="center"/>
    </xf>
    <xf numFmtId="0" fontId="5" fillId="11" borderId="4" pivotButton="0" quotePrefix="0" xfId="0"/>
    <xf numFmtId="0" fontId="29" fillId="9" borderId="4" applyAlignment="1" pivotButton="0" quotePrefix="0" xfId="0">
      <alignment horizontal="left" vertical="center"/>
    </xf>
    <xf numFmtId="0" fontId="29" fillId="9" borderId="4" applyAlignment="1" pivotButton="0" quotePrefix="0" xfId="0">
      <alignment horizontal="center" vertical="center"/>
    </xf>
    <xf numFmtId="0" fontId="21" fillId="9" borderId="4" applyAlignment="1" pivotButton="0" quotePrefix="0" xfId="0">
      <alignment horizontal="center" vertical="center"/>
    </xf>
    <xf numFmtId="0" fontId="5" fillId="9" borderId="4" pivotButton="0" quotePrefix="0" xfId="0"/>
    <xf numFmtId="0" fontId="73" fillId="10" borderId="4" applyAlignment="1" pivotButton="0" quotePrefix="0" xfId="0">
      <alignment horizontal="left" vertical="center"/>
    </xf>
    <xf numFmtId="0" fontId="74" fillId="10" borderId="4" applyAlignment="1" pivotButton="0" quotePrefix="0" xfId="0">
      <alignment horizontal="center" vertical="center"/>
    </xf>
    <xf numFmtId="3" fontId="12" fillId="10" borderId="4" applyAlignment="1" pivotButton="0" quotePrefix="0" xfId="0">
      <alignment horizontal="right" vertical="center"/>
    </xf>
    <xf numFmtId="0" fontId="21" fillId="10" borderId="4" applyAlignment="1" pivotButton="0" quotePrefix="0" xfId="0">
      <alignment horizontal="center" vertical="center"/>
    </xf>
    <xf numFmtId="0" fontId="5" fillId="10" borderId="4" pivotButton="0" quotePrefix="0" xfId="0"/>
    <xf numFmtId="0" fontId="70" fillId="12" borderId="4" applyAlignment="1" pivotButton="0" quotePrefix="0" xfId="0">
      <alignment horizontal="left" vertical="center"/>
    </xf>
    <xf numFmtId="0" fontId="70" fillId="12" borderId="4" applyAlignment="1" pivotButton="0" quotePrefix="0" xfId="0">
      <alignment horizontal="center" vertical="center"/>
    </xf>
    <xf numFmtId="3" fontId="75" fillId="12" borderId="4" applyAlignment="1" pivotButton="0" quotePrefix="0" xfId="0">
      <alignment horizontal="right" vertical="center"/>
    </xf>
    <xf numFmtId="166" fontId="75" fillId="12" borderId="4" applyAlignment="1" pivotButton="0" quotePrefix="0" xfId="0">
      <alignment horizontal="right" vertical="center"/>
    </xf>
    <xf numFmtId="0" fontId="5" fillId="12" borderId="4" pivotButton="0" quotePrefix="0" xfId="0"/>
    <xf numFmtId="0" fontId="76" fillId="2" borderId="4" applyAlignment="1" pivotButton="0" quotePrefix="0" xfId="0">
      <alignment horizontal="center" vertical="center"/>
    </xf>
    <xf numFmtId="0" fontId="28" fillId="24" borderId="4" applyAlignment="1" pivotButton="0" quotePrefix="0" xfId="0">
      <alignment horizontal="left" vertical="center"/>
    </xf>
    <xf numFmtId="0" fontId="28" fillId="24" borderId="4" applyAlignment="1" pivotButton="0" quotePrefix="0" xfId="0">
      <alignment horizontal="center" vertical="center"/>
    </xf>
    <xf numFmtId="0" fontId="58" fillId="24" borderId="4" applyAlignment="1" pivotButton="0" quotePrefix="0" xfId="0">
      <alignment horizontal="left" vertical="center"/>
    </xf>
    <xf numFmtId="0" fontId="48" fillId="42" borderId="1" applyAlignment="1" pivotButton="0" quotePrefix="0" xfId="0">
      <alignment horizontal="left" vertical="center" wrapText="1"/>
    </xf>
    <xf numFmtId="3" fontId="10" fillId="7" borderId="4" applyAlignment="1" pivotButton="0" quotePrefix="0" xfId="0">
      <alignment horizontal="right" vertical="center"/>
    </xf>
    <xf numFmtId="166" fontId="31" fillId="16" borderId="4" applyAlignment="1" pivotButton="0" quotePrefix="0" xfId="0">
      <alignment horizontal="right" vertical="center"/>
    </xf>
    <xf numFmtId="0" fontId="27" fillId="16" borderId="4" applyAlignment="1" pivotButton="0" quotePrefix="0" xfId="0">
      <alignment horizontal="left" vertical="center"/>
    </xf>
    <xf numFmtId="164" fontId="31" fillId="16" borderId="4" applyAlignment="1" pivotButton="0" quotePrefix="0" xfId="0">
      <alignment horizontal="right" vertical="center"/>
    </xf>
    <xf numFmtId="0" fontId="27" fillId="16" borderId="5" applyAlignment="1" pivotButton="0" quotePrefix="0" xfId="0">
      <alignment horizontal="left" vertical="center"/>
    </xf>
    <xf numFmtId="3" fontId="31" fillId="16" borderId="4" applyAlignment="1" pivotButton="0" quotePrefix="0" xfId="0">
      <alignment horizontal="right" vertical="center"/>
    </xf>
    <xf numFmtId="0" fontId="39" fillId="35" borderId="4" applyAlignment="1" pivotButton="0" quotePrefix="0" xfId="0">
      <alignment horizontal="left" vertical="center"/>
    </xf>
    <xf numFmtId="0" fontId="75" fillId="35" borderId="4" applyAlignment="1" pivotButton="0" quotePrefix="0" xfId="0">
      <alignment horizontal="center" vertical="center"/>
    </xf>
    <xf numFmtId="3" fontId="75" fillId="35" borderId="4" applyAlignment="1" pivotButton="0" quotePrefix="0" xfId="0">
      <alignment horizontal="right" vertical="center"/>
    </xf>
    <xf numFmtId="0" fontId="70" fillId="35" borderId="4" applyAlignment="1" pivotButton="0" quotePrefix="0" xfId="0">
      <alignment horizontal="center" vertical="center"/>
    </xf>
    <xf numFmtId="0" fontId="28" fillId="35" borderId="4" applyAlignment="1" pivotButton="0" quotePrefix="0" xfId="0">
      <alignment horizontal="left" vertical="center"/>
    </xf>
    <xf numFmtId="0" fontId="70" fillId="35" borderId="4" applyAlignment="1" pivotButton="0" quotePrefix="0" xfId="0">
      <alignment horizontal="left" vertical="center"/>
    </xf>
    <xf numFmtId="3" fontId="12" fillId="16" borderId="4" applyAlignment="1" pivotButton="0" quotePrefix="0" xfId="0">
      <alignment horizontal="right" vertical="center"/>
    </xf>
    <xf numFmtId="164" fontId="28" fillId="16" borderId="4" applyAlignment="1" pivotButton="0" quotePrefix="0" xfId="0">
      <alignment horizontal="right" vertical="center"/>
    </xf>
    <xf numFmtId="0" fontId="0" fillId="0" borderId="0" pivotButton="0" quotePrefix="0" xfId="0"/>
    <xf numFmtId="0" fontId="77" fillId="46" borderId="0" applyAlignment="1" pivotButton="0" quotePrefix="0" xfId="0">
      <alignment horizontal="center" vertical="center"/>
    </xf>
    <xf numFmtId="0" fontId="78" fillId="47" borderId="0" applyAlignment="1" pivotButton="0" quotePrefix="0" xfId="0">
      <alignment horizontal="center" vertical="center"/>
    </xf>
    <xf numFmtId="0" fontId="79" fillId="46" borderId="0" applyAlignment="1" pivotButton="0" quotePrefix="0" xfId="0">
      <alignment horizontal="center" vertical="center" wrapText="1"/>
    </xf>
    <xf numFmtId="0" fontId="80" fillId="48" borderId="17" applyAlignment="1" pivotButton="0" quotePrefix="0" xfId="0">
      <alignment horizontal="center" vertical="center" wrapText="1"/>
    </xf>
    <xf numFmtId="0" fontId="81" fillId="0" borderId="17" applyAlignment="1" pivotButton="0" quotePrefix="0" xfId="0">
      <alignment horizontal="center"/>
    </xf>
    <xf numFmtId="0" fontId="82" fillId="0" borderId="17" applyAlignment="1" pivotButton="0" quotePrefix="0" xfId="0">
      <alignment vertical="top" wrapText="1"/>
    </xf>
    <xf numFmtId="0" fontId="83" fillId="49" borderId="17" applyAlignment="1" pivotButton="0" quotePrefix="0" xfId="0">
      <alignment horizontal="center"/>
    </xf>
    <xf numFmtId="0" fontId="84" fillId="50" borderId="17" applyAlignment="1" pivotButton="0" quotePrefix="0" xfId="0">
      <alignment horizontal="center"/>
    </xf>
    <xf numFmtId="0" fontId="81" fillId="0" borderId="17" applyAlignment="1" pivotButton="0" quotePrefix="0" xfId="0">
      <alignment horizontal="center" wrapText="1"/>
    </xf>
    <xf numFmtId="0" fontId="85" fillId="0" borderId="17" applyAlignment="1" pivotButton="0" quotePrefix="0" xfId="0">
      <alignment vertical="top" wrapText="1"/>
    </xf>
    <xf numFmtId="0" fontId="83" fillId="51" borderId="17" applyAlignment="1" pivotButton="0" quotePrefix="0" xfId="0">
      <alignment horizontal="center"/>
    </xf>
    <xf numFmtId="0" fontId="84" fillId="52" borderId="17" applyAlignment="1" pivotButton="0" quotePrefix="0" xfId="0">
      <alignment horizontal="center"/>
    </xf>
    <xf numFmtId="0" fontId="83" fillId="50" borderId="17" applyAlignment="1" pivotButton="0" quotePrefix="0" xfId="0">
      <alignment horizontal="center"/>
    </xf>
    <xf numFmtId="0" fontId="84" fillId="53" borderId="17" applyAlignment="1" pivotButton="0" quotePrefix="0" xfId="0">
      <alignment horizontal="center"/>
    </xf>
    <xf numFmtId="0" fontId="0" fillId="0" borderId="17" pivotButton="0" quotePrefix="0" xfId="0"/>
    <xf numFmtId="0" fontId="80" fillId="54" borderId="17" applyAlignment="1" pivotButton="0" quotePrefix="0" xfId="0">
      <alignment horizontal="center" vertical="center" wrapText="1"/>
    </xf>
    <xf numFmtId="0" fontId="80" fillId="55" borderId="17" applyAlignment="1" pivotButton="0" quotePrefix="0" xfId="0">
      <alignment horizontal="center" vertical="center" wrapText="1"/>
    </xf>
    <xf numFmtId="0" fontId="80" fillId="56" borderId="17" applyAlignment="1" pivotButton="0" quotePrefix="0" xfId="0">
      <alignment horizontal="center" vertical="center" wrapText="1"/>
    </xf>
    <xf numFmtId="0" fontId="80" fillId="57" borderId="17" applyAlignment="1" pivotButton="0" quotePrefix="0" xfId="0">
      <alignment horizontal="center" vertical="center" wrapText="1"/>
    </xf>
    <xf numFmtId="0" fontId="80" fillId="58" borderId="17" applyAlignment="1" pivotButton="0" quotePrefix="0" xfId="0">
      <alignment horizontal="center" vertical="center" wrapText="1"/>
    </xf>
    <xf numFmtId="0" fontId="86" fillId="46" borderId="0" applyAlignment="1" pivotButton="0" quotePrefix="0" xfId="0">
      <alignment horizontal="left"/>
    </xf>
    <xf numFmtId="0" fontId="82" fillId="0" borderId="0" pivotButton="0" quotePrefix="0" xfId="0"/>
    <xf numFmtId="0" fontId="83" fillId="0" borderId="0" applyAlignment="1" pivotButton="0" quotePrefix="0" xfId="0">
      <alignment horizontal="center"/>
    </xf>
    <xf numFmtId="0" fontId="79" fillId="59" borderId="0" pivotButton="0" quotePrefix="0" xfId="0"/>
    <xf numFmtId="0" fontId="84" fillId="0" borderId="0" pivotButton="0" quotePrefix="0" xfId="0"/>
    <xf numFmtId="0" fontId="87" fillId="0" borderId="0" pivotButton="0" quotePrefix="0" xfId="0"/>
    <xf numFmtId="0" fontId="0" fillId="49" borderId="0" pivotButton="0" quotePrefix="0" xfId="0"/>
    <xf numFmtId="0" fontId="0" fillId="51" borderId="0" pivotButton="0" quotePrefix="0" xfId="0"/>
    <xf numFmtId="0" fontId="0" fillId="50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3" fillId="2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left" vertical="center"/>
    </xf>
    <xf numFmtId="0" fontId="7" fillId="4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7" fillId="3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14" borderId="8" applyAlignment="1" pivotButton="0" quotePrefix="0" xfId="0">
      <alignment horizontal="left" vertical="center"/>
    </xf>
    <xf numFmtId="0" fontId="23" fillId="2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right" vertical="center"/>
    </xf>
    <xf numFmtId="0" fontId="24" fillId="3" borderId="4" applyAlignment="1" pivotButton="0" quotePrefix="0" xfId="0">
      <alignment horizontal="left" vertical="center"/>
    </xf>
    <xf numFmtId="0" fontId="6" fillId="19" borderId="4" applyAlignment="1" pivotButton="0" quotePrefix="0" xfId="0">
      <alignment horizontal="left" vertical="center"/>
    </xf>
    <xf numFmtId="0" fontId="6" fillId="20" borderId="4" applyAlignment="1" pivotButton="0" quotePrefix="0" xfId="0">
      <alignment horizontal="left" vertical="center"/>
    </xf>
    <xf numFmtId="0" fontId="36" fillId="21" borderId="4" applyAlignment="1" pivotButton="0" quotePrefix="0" xfId="0">
      <alignment horizontal="left" vertical="center"/>
    </xf>
    <xf numFmtId="0" fontId="37" fillId="2" borderId="4" applyAlignment="1" pivotButton="0" quotePrefix="0" xfId="0">
      <alignment horizontal="center" vertical="center"/>
    </xf>
    <xf numFmtId="0" fontId="41" fillId="0" borderId="4" applyAlignment="1" pivotButton="0" quotePrefix="0" xfId="0">
      <alignment horizontal="left" vertical="center"/>
    </xf>
    <xf numFmtId="0" fontId="23" fillId="2" borderId="1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6" fillId="35" borderId="12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 wrapText="1"/>
    </xf>
    <xf numFmtId="0" fontId="47" fillId="36" borderId="8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 wrapText="1"/>
    </xf>
    <xf numFmtId="0" fontId="21" fillId="35" borderId="12" applyAlignment="1" pivotButton="0" quotePrefix="0" xfId="0">
      <alignment horizontal="left" vertical="center"/>
    </xf>
    <xf numFmtId="0" fontId="21" fillId="34" borderId="12" applyAlignment="1" pivotButton="0" quotePrefix="0" xfId="0">
      <alignment horizontal="left" vertical="center"/>
    </xf>
    <xf numFmtId="0" fontId="21" fillId="38" borderId="12" applyAlignment="1" pivotButton="0" quotePrefix="0" xfId="0">
      <alignment horizontal="left" vertical="center"/>
    </xf>
    <xf numFmtId="0" fontId="21" fillId="12" borderId="12" applyAlignment="1" pivotButton="0" quotePrefix="0" xfId="0">
      <alignment horizontal="left" vertical="center"/>
    </xf>
    <xf numFmtId="0" fontId="21" fillId="15" borderId="12" applyAlignment="1" pivotButton="0" quotePrefix="0" xfId="0">
      <alignment horizontal="left" vertical="center"/>
    </xf>
    <xf numFmtId="0" fontId="43" fillId="16" borderId="12" applyAlignment="1" pivotButton="0" quotePrefix="0" xfId="0">
      <alignment horizontal="left" vertical="center"/>
    </xf>
    <xf numFmtId="0" fontId="23" fillId="2" borderId="12" applyAlignment="1" pivotButton="0" quotePrefix="0" xfId="0">
      <alignment horizontal="left" vertical="center"/>
    </xf>
    <xf numFmtId="0" fontId="53" fillId="4" borderId="12" applyAlignment="1" pivotButton="0" quotePrefix="0" xfId="0">
      <alignment horizontal="left" vertical="center"/>
    </xf>
    <xf numFmtId="0" fontId="53" fillId="6" borderId="12" applyAlignment="1" pivotButton="0" quotePrefix="0" xfId="0">
      <alignment horizontal="left" vertical="center"/>
    </xf>
    <xf numFmtId="0" fontId="53" fillId="2" borderId="12" applyAlignment="1" pivotButton="0" quotePrefix="0" xfId="0">
      <alignment horizontal="left" vertical="center"/>
    </xf>
    <xf numFmtId="0" fontId="21" fillId="24" borderId="4" applyAlignment="1" pivotButton="0" quotePrefix="0" xfId="0">
      <alignment horizontal="left" vertical="center" wrapText="1"/>
    </xf>
    <xf numFmtId="0" fontId="21" fillId="17" borderId="4" applyAlignment="1" pivotButton="0" quotePrefix="0" xfId="0">
      <alignment horizontal="left" vertical="center" wrapText="1"/>
    </xf>
    <xf numFmtId="0" fontId="53" fillId="2" borderId="8" applyAlignment="1" pivotButton="0" quotePrefix="0" xfId="0">
      <alignment horizontal="center" vertical="center"/>
    </xf>
    <xf numFmtId="0" fontId="24" fillId="3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left" vertical="center"/>
    </xf>
    <xf numFmtId="0" fontId="7" fillId="22" borderId="8" applyAlignment="1" pivotButton="0" quotePrefix="0" xfId="0">
      <alignment horizontal="left" vertical="center"/>
    </xf>
    <xf numFmtId="0" fontId="6" fillId="3" borderId="4" applyAlignment="1" pivotButton="0" quotePrefix="0" xfId="0">
      <alignment horizontal="left" vertical="center"/>
    </xf>
    <xf numFmtId="0" fontId="6" fillId="4" borderId="4" applyAlignment="1" pivotButton="0" quotePrefix="0" xfId="0">
      <alignment horizontal="left" vertical="center"/>
    </xf>
    <xf numFmtId="0" fontId="48" fillId="42" borderId="8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2" customWidth="1" style="363" min="1" max="1"/>
    <col width="4" customWidth="1" style="363" min="2" max="2"/>
    <col width="55" customWidth="1" style="363" min="3" max="3"/>
    <col width="10" customWidth="1" style="363" min="4" max="4"/>
    <col width="14" customWidth="1" style="363" min="5" max="5"/>
    <col width="16" customWidth="1" style="363" min="6" max="6"/>
    <col width="55" customWidth="1" style="363" min="7" max="7"/>
  </cols>
  <sheetData>
    <row r="1" ht="38" customHeight="1" s="363">
      <c r="A1" s="364" t="inlineStr">
        <is>
          <t>CARISMA SPA — STRATEGIC ACTION PLAN</t>
        </is>
      </c>
    </row>
    <row r="2" ht="24" customHeight="1" s="363">
      <c r="A2" s="365" t="inlineStr">
        <is>
          <t>33 initiatives categorised from brainstorm session  |  Status as of Apr 2026  |  8 items analysed this session</t>
        </is>
      </c>
    </row>
    <row r="4" ht="28" customHeight="1" s="363">
      <c r="A4" s="366" t="inlineStr">
        <is>
          <t>CATEGORY</t>
        </is>
      </c>
      <c r="B4" s="366" t="inlineStr">
        <is>
          <t>#</t>
        </is>
      </c>
      <c r="C4" s="366" t="inlineStr">
        <is>
          <t>ACTION ITEM</t>
        </is>
      </c>
      <c r="D4" s="366" t="inlineStr">
        <is>
          <t>PRIORITY</t>
        </is>
      </c>
      <c r="E4" s="366" t="inlineStr">
        <is>
          <t>STATUS</t>
        </is>
      </c>
      <c r="F4" s="366" t="inlineStr">
        <is>
          <t>OWNER</t>
        </is>
      </c>
      <c r="G4" s="366" t="inlineStr">
        <is>
          <t>NOTES / CONTEXT</t>
        </is>
      </c>
    </row>
    <row r="5" ht="32" customHeight="1" s="363">
      <c r="A5" s="367" t="inlineStr">
        <is>
          <t>STAFFING &amp; ROSTER</t>
        </is>
      </c>
      <c r="B5" s="368" t="n">
        <v>1</v>
      </c>
      <c r="C5" s="369" t="inlineStr">
        <is>
          <t>Receptionist + hourly who can do therapies (dual-competency T-S role)</t>
        </is>
      </c>
      <c r="D5" s="370" t="inlineStr">
        <is>
          <t>HIGH</t>
        </is>
      </c>
      <c r="E5" s="371" t="inlineStr">
        <is>
          <t>✓ ANALYSED</t>
        </is>
      </c>
      <c r="F5" s="372" t="inlineStr">
        <is>
          <t>HR / Ops</t>
        </is>
      </c>
      <c r="G5" s="373" t="inlineStr">
        <is>
          <t>Highest-ROI idea from strategic review. Saves €300-500/mo per location vs separate hire.</t>
        </is>
      </c>
    </row>
    <row r="6" ht="32" customHeight="1" s="363">
      <c r="B6" s="368" t="n">
        <v>2</v>
      </c>
      <c r="C6" s="369" t="inlineStr">
        <is>
          <t>Part-time therapists for weekends (Fri–Sun coverage)</t>
        </is>
      </c>
      <c r="D6" s="374" t="inlineStr">
        <is>
          <t>MED</t>
        </is>
      </c>
      <c r="E6" s="371" t="inlineStr">
        <is>
          <t>✓ ANALYSED</t>
        </is>
      </c>
      <c r="F6" s="372" t="inlineStr">
        <is>
          <t>HR</t>
        </is>
      </c>
      <c r="G6" s="373" t="inlineStr">
        <is>
          <t>Structurally correct but operationally complex. Best for Novotel &amp; Excelsior.</t>
        </is>
      </c>
    </row>
    <row r="7" ht="32" customHeight="1" s="363">
      <c r="B7" s="368" t="n">
        <v>3</v>
      </c>
      <c r="C7" s="369" t="inlineStr">
        <is>
          <t>No more advisors — focus on therapists</t>
        </is>
      </c>
      <c r="D7" s="370" t="inlineStr">
        <is>
          <t>HIGH</t>
        </is>
      </c>
      <c r="E7" s="375" t="inlineStr">
        <is>
          <t>→ ACTIVE</t>
        </is>
      </c>
      <c r="F7" s="372" t="inlineStr">
        <is>
          <t>COO</t>
        </is>
      </c>
      <c r="G7" s="373" t="inlineStr">
        <is>
          <t>Inter has 3 advisors (€6K/mo). Ramla has 2 (€3.4K). Review if revenue justifies cost.</t>
        </is>
      </c>
    </row>
    <row r="8" ht="32" customHeight="1" s="363">
      <c r="B8" s="368" t="n">
        <v>4</v>
      </c>
      <c r="C8" s="369" t="inlineStr">
        <is>
          <t>Roster optimize — shift patterns A/B coverage</t>
        </is>
      </c>
      <c r="D8" s="370" t="inlineStr">
        <is>
          <t>HIGH</t>
        </is>
      </c>
      <c r="E8" s="371" t="inlineStr">
        <is>
          <t>✓ ANALYSED</t>
        </is>
      </c>
      <c r="F8" s="372" t="inlineStr">
        <is>
          <t>HR / Ops</t>
        </is>
      </c>
      <c r="G8" s="373" t="inlineStr">
        <is>
          <t>Full weekly roster built with actual names. 5-day week, Sat mandatory, A+B shift coverage.</t>
        </is>
      </c>
    </row>
    <row r="9" ht="32" customHeight="1" s="363">
      <c r="B9" s="368" t="n">
        <v>5</v>
      </c>
      <c r="C9" s="369" t="inlineStr">
        <is>
          <t>Reduce opening hours (9-19 vs 10-20) per location</t>
        </is>
      </c>
      <c r="D9" s="374" t="inlineStr">
        <is>
          <t>MED</t>
        </is>
      </c>
      <c r="E9" s="371" t="inlineStr">
        <is>
          <t>✓ ANALYSED</t>
        </is>
      </c>
      <c r="F9" s="372" t="inlineStr">
        <is>
          <t>COO</t>
        </is>
      </c>
      <c r="G9" s="373" t="inlineStr">
        <is>
          <t>Data supports location-specific approach. Riviera/Odycy/Novo could close earlier.</t>
        </is>
      </c>
    </row>
    <row r="10" ht="32" customHeight="1" s="363">
      <c r="B10" s="368" t="n">
        <v>6</v>
      </c>
      <c r="C10" s="369" t="inlineStr">
        <is>
          <t>HR check roster &amp; Talexio weekly</t>
        </is>
      </c>
      <c r="D10" s="374" t="inlineStr">
        <is>
          <t>MED</t>
        </is>
      </c>
      <c r="E10" s="375" t="inlineStr">
        <is>
          <t>→ ACTIVE</t>
        </is>
      </c>
      <c r="F10" s="372" t="inlineStr">
        <is>
          <t>HR</t>
        </is>
      </c>
      <c r="G10" s="373" t="inlineStr">
        <is>
          <t>Roster review weekly with phone check-in. Ensure Talexio matches actual shifts.</t>
        </is>
      </c>
    </row>
    <row r="11" ht="32" customHeight="1" s="363">
      <c r="B11" s="368" t="n">
        <v>7</v>
      </c>
      <c r="C11" s="369" t="inlineStr">
        <is>
          <t>Put stop-leave on Talexio</t>
        </is>
      </c>
      <c r="D11" s="376" t="inlineStr">
        <is>
          <t>LOW</t>
        </is>
      </c>
      <c r="E11" s="377" t="inlineStr">
        <is>
          <t>○ TODO</t>
        </is>
      </c>
      <c r="F11" s="372" t="inlineStr">
        <is>
          <t>HR</t>
        </is>
      </c>
      <c r="G11" s="373" t="inlineStr">
        <is>
          <t>Block leave requests during peak periods. Requires Talexio config.</t>
        </is>
      </c>
    </row>
    <row r="12" ht="32" customHeight="1" s="363">
      <c r="A12" s="378" t="n"/>
      <c r="B12" s="368" t="n">
        <v>8</v>
      </c>
      <c r="C12" s="369" t="inlineStr">
        <is>
          <t>Peak windows are painful — coverage gaps</t>
        </is>
      </c>
      <c r="D12" s="370" t="inlineStr">
        <is>
          <t>HIGH</t>
        </is>
      </c>
      <c r="E12" s="375" t="inlineStr">
        <is>
          <t>→ ACTIVE</t>
        </is>
      </c>
      <c r="F12" s="372" t="inlineStr">
        <is>
          <t>Ops</t>
        </is>
      </c>
      <c r="G12" s="373" t="inlineStr">
        <is>
          <t>Fri/Sat/Sun coverage needs all therapists. Current roster addresses this.</t>
        </is>
      </c>
    </row>
    <row r="13" ht="32" customHeight="1" s="363">
      <c r="A13" s="379" t="inlineStr">
        <is>
          <t>COMPENSATION</t>
        </is>
      </c>
      <c r="B13" s="368" t="n">
        <v>9</v>
      </c>
      <c r="C13" s="369" t="inlineStr">
        <is>
          <t>Regional Manager promotions (Anna / Neli / Melanie)</t>
        </is>
      </c>
      <c r="D13" s="370" t="inlineStr">
        <is>
          <t>HIGH</t>
        </is>
      </c>
      <c r="E13" s="371" t="inlineStr">
        <is>
          <t>✓ ANALYSED</t>
        </is>
      </c>
      <c r="F13" s="372" t="inlineStr">
        <is>
          <t>CEO / HR</t>
        </is>
      </c>
      <c r="G13" s="373" t="inlineStr">
        <is>
          <t>CFO modelled: +€600/mo net cost. Anna €4,500, Neli €4,200, Melanie €3,800. Cost-neutral with T-S backfill.</t>
        </is>
      </c>
    </row>
    <row r="14" ht="32" customHeight="1" s="363">
      <c r="B14" s="368" t="n">
        <v>10</v>
      </c>
      <c r="C14" s="369" t="inlineStr">
        <is>
          <t>Managers getting paid on net revenue</t>
        </is>
      </c>
      <c r="D14" s="374" t="inlineStr">
        <is>
          <t>MED</t>
        </is>
      </c>
      <c r="E14" s="375" t="inlineStr">
        <is>
          <t>→ ACTIVE</t>
        </is>
      </c>
      <c r="F14" s="372" t="inlineStr">
        <is>
          <t>CFO / HR</t>
        </is>
      </c>
      <c r="G14" s="373" t="inlineStr">
        <is>
          <t>Align manager comp with location P&amp;L. Requires defining 'net revenue' per location.</t>
        </is>
      </c>
    </row>
    <row r="15" ht="32" customHeight="1" s="363">
      <c r="B15" s="368" t="n">
        <v>11</v>
      </c>
      <c r="C15" s="369" t="inlineStr">
        <is>
          <t>HR to get bonus based on net revenue</t>
        </is>
      </c>
      <c r="D15" s="376" t="inlineStr">
        <is>
          <t>LOW</t>
        </is>
      </c>
      <c r="E15" s="377" t="inlineStr">
        <is>
          <t>○ TODO</t>
        </is>
      </c>
      <c r="F15" s="372" t="inlineStr">
        <is>
          <t>CFO</t>
        </is>
      </c>
      <c r="G15" s="373" t="inlineStr">
        <is>
          <t>HR incentive alignment. Define metric: retention rate + HC% target hit.</t>
        </is>
      </c>
    </row>
    <row r="16" ht="32" customHeight="1" s="363">
      <c r="B16" s="368" t="n">
        <v>12</v>
      </c>
      <c r="C16" s="369" t="inlineStr">
        <is>
          <t>Concierge 1.5% commission, 3% if spa hits target</t>
        </is>
      </c>
      <c r="D16" s="374" t="inlineStr">
        <is>
          <t>MED</t>
        </is>
      </c>
      <c r="E16" s="377" t="inlineStr">
        <is>
          <t>○ TODO</t>
        </is>
      </c>
      <c r="F16" s="372" t="inlineStr">
        <is>
          <t>CFO</t>
        </is>
      </c>
      <c r="G16" s="373" t="inlineStr">
        <is>
          <t>Tiered commission for advisors/concierge. Incentivises upsell + team performance.</t>
        </is>
      </c>
    </row>
    <row r="17" ht="32" customHeight="1" s="363">
      <c r="B17" s="368" t="n">
        <v>13</v>
      </c>
      <c r="C17" s="369" t="inlineStr">
        <is>
          <t>Show rate target % bonus</t>
        </is>
      </c>
      <c r="D17" s="374" t="inlineStr">
        <is>
          <t>MED</t>
        </is>
      </c>
      <c r="E17" s="377" t="inlineStr">
        <is>
          <t>○ TODO</t>
        </is>
      </c>
      <c r="F17" s="372" t="inlineStr">
        <is>
          <t>CFO / Ops</t>
        </is>
      </c>
      <c r="G17" s="373" t="inlineStr">
        <is>
          <t>Bonus for reducing no-show rate. Needs baseline measurement first.</t>
        </is>
      </c>
    </row>
    <row r="18" ht="32" customHeight="1" s="363">
      <c r="A18" s="378" t="n"/>
      <c r="B18" s="368" t="n">
        <v>14</v>
      </c>
      <c r="C18" s="369" t="inlineStr">
        <is>
          <t>Hourly pay model?</t>
        </is>
      </c>
      <c r="D18" s="376" t="inlineStr">
        <is>
          <t>LOW</t>
        </is>
      </c>
      <c r="E18" s="377" t="inlineStr">
        <is>
          <t>○ TODO</t>
        </is>
      </c>
      <c r="F18" s="372" t="inlineStr">
        <is>
          <t>CFO / HR</t>
        </is>
      </c>
      <c r="G18" s="373" t="inlineStr">
        <is>
          <t>Evaluate hourly vs monthly for PT roles. Malta min wage €994/mo = ~€5.75/hr.</t>
        </is>
      </c>
    </row>
    <row r="19" ht="32" customHeight="1" s="363">
      <c r="A19" s="380" t="inlineStr">
        <is>
          <t>OPERATIONS</t>
        </is>
      </c>
      <c r="B19" s="368" t="n">
        <v>15</v>
      </c>
      <c r="C19" s="369" t="inlineStr">
        <is>
          <t>Utilisation optimise — Tx/Day/Therapist tracking</t>
        </is>
      </c>
      <c r="D19" s="370" t="inlineStr">
        <is>
          <t>HIGH</t>
        </is>
      </c>
      <c r="E19" s="371" t="inlineStr">
        <is>
          <t>✓ ANALYSED</t>
        </is>
      </c>
      <c r="F19" s="372" t="inlineStr">
        <is>
          <t>Ops</t>
        </is>
      </c>
      <c r="G19" s="373" t="inlineStr">
        <is>
          <t>Full analysis done. Ramla 3.07, Odycy 3.08, Excelsior 3.34 — all ⚠ UNDER target 3.5.</t>
        </is>
      </c>
    </row>
    <row r="20" ht="32" customHeight="1" s="363">
      <c r="B20" s="368" t="n">
        <v>16</v>
      </c>
      <c r="C20" s="369" t="inlineStr">
        <is>
          <t>Therapists sitting idle — address under-utilisation</t>
        </is>
      </c>
      <c r="D20" s="370" t="inlineStr">
        <is>
          <t>HIGH</t>
        </is>
      </c>
      <c r="E20" s="371" t="inlineStr">
        <is>
          <t>✓ ANALYSED</t>
        </is>
      </c>
      <c r="F20" s="372" t="inlineStr">
        <is>
          <t>Ops / HR</t>
        </is>
      </c>
      <c r="G20" s="373" t="inlineStr">
        <is>
          <t>Ramla (6T on €39K rev), Odycy (4T on €24K rev), Excelsior (4T on €29K rev) need reduction.</t>
        </is>
      </c>
    </row>
    <row r="21" ht="32" customHeight="1" s="363">
      <c r="B21" s="368" t="n">
        <v>17</v>
      </c>
      <c r="C21" s="369" t="inlineStr">
        <is>
          <t>Every department has EOD checklist</t>
        </is>
      </c>
      <c r="D21" s="374" t="inlineStr">
        <is>
          <t>MED</t>
        </is>
      </c>
      <c r="E21" s="377" t="inlineStr">
        <is>
          <t>○ TODO</t>
        </is>
      </c>
      <c r="F21" s="372" t="inlineStr">
        <is>
          <t>COO</t>
        </is>
      </c>
      <c r="G21" s="373" t="inlineStr">
        <is>
          <t>Standardise end-of-day process across all 9 locations. CarismaSoft will automate.</t>
        </is>
      </c>
    </row>
    <row r="22" ht="32" customHeight="1" s="363">
      <c r="B22" s="368" t="n">
        <v>18</v>
      </c>
      <c r="C22" s="369" t="inlineStr">
        <is>
          <t>Reception tasks reduction — too much admin</t>
        </is>
      </c>
      <c r="D22" s="374" t="inlineStr">
        <is>
          <t>MED</t>
        </is>
      </c>
      <c r="E22" s="377" t="inlineStr">
        <is>
          <t>○ TODO</t>
        </is>
      </c>
      <c r="F22" s="372" t="inlineStr">
        <is>
          <t>Ops</t>
        </is>
      </c>
      <c r="G22" s="373" t="inlineStr">
        <is>
          <t>Audit reception workflows. Remove non-essential admin. Free up for customer service.</t>
        </is>
      </c>
    </row>
    <row r="23" ht="32" customHeight="1" s="363">
      <c r="B23" s="368" t="n">
        <v>19</v>
      </c>
      <c r="C23" s="369" t="inlineStr">
        <is>
          <t>Number of treatments per month per spa</t>
        </is>
      </c>
      <c r="D23" s="370" t="inlineStr">
        <is>
          <t>HIGH</t>
        </is>
      </c>
      <c r="E23" s="371" t="inlineStr">
        <is>
          <t>✓ ANALYSED</t>
        </is>
      </c>
      <c r="F23" s="372" t="inlineStr">
        <is>
          <t>Ops</t>
        </is>
      </c>
      <c r="G23" s="373" t="inlineStr">
        <is>
          <t>Built into Treatment Analysis. Inter 556, Hugos 533, Ramla 333, Riviera 222, etc.</t>
        </is>
      </c>
    </row>
    <row r="24" ht="32" customHeight="1" s="363">
      <c r="A24" s="378" t="n"/>
      <c r="B24" s="368" t="n">
        <v>20</v>
      </c>
      <c r="C24" s="369" t="inlineStr">
        <is>
          <t>HC % 40% target</t>
        </is>
      </c>
      <c r="D24" s="370" t="inlineStr">
        <is>
          <t>HIGH</t>
        </is>
      </c>
      <c r="E24" s="371" t="inlineStr">
        <is>
          <t>✓ ANALYSED</t>
        </is>
      </c>
      <c r="F24" s="372" t="inlineStr">
        <is>
          <t>CFO / COO</t>
        </is>
      </c>
      <c r="G24" s="373" t="inlineStr">
        <is>
          <t>Actuals built. Portfolio at 47.4% loaded. Ramla/Odycy/Excelsior at 49-55% — ❌ OVER.</t>
        </is>
      </c>
    </row>
    <row r="25" ht="32" customHeight="1" s="363">
      <c r="A25" s="381" t="inlineStr">
        <is>
          <t>SALES &amp; REVENUE</t>
        </is>
      </c>
      <c r="B25" s="368" t="n">
        <v>21</v>
      </c>
      <c r="C25" s="369" t="inlineStr">
        <is>
          <t>Smart pricing — location-specific + seasonal</t>
        </is>
      </c>
      <c r="D25" s="374" t="inlineStr">
        <is>
          <t>MED</t>
        </is>
      </c>
      <c r="E25" s="377" t="inlineStr">
        <is>
          <t>○ TODO</t>
        </is>
      </c>
      <c r="F25" s="372" t="inlineStr">
        <is>
          <t>COO / CFO</t>
        </is>
      </c>
      <c r="G25" s="373" t="inlineStr">
        <is>
          <t>CarismaSoft Phase 2 feature. Define peak/off-peak pricing per location.</t>
        </is>
      </c>
    </row>
    <row r="26" ht="32" customHeight="1" s="363">
      <c r="B26" s="368" t="n">
        <v>22</v>
      </c>
      <c r="C26" s="369" t="inlineStr">
        <is>
          <t>Fix speed-to-lead issue</t>
        </is>
      </c>
      <c r="D26" s="370" t="inlineStr">
        <is>
          <t>HIGH</t>
        </is>
      </c>
      <c r="E26" s="377" t="inlineStr">
        <is>
          <t>○ TODO</t>
        </is>
      </c>
      <c r="F26" s="372" t="inlineStr">
        <is>
          <t>CRM / Sales</t>
        </is>
      </c>
      <c r="G26" s="373" t="inlineStr">
        <is>
          <t>Photo attachment reference. Reduce response time to enquiries.</t>
        </is>
      </c>
    </row>
    <row r="27" ht="32" customHeight="1" s="363">
      <c r="B27" s="368" t="n">
        <v>23</v>
      </c>
      <c r="C27" s="369" t="inlineStr">
        <is>
          <t>CRM phone call sales training optimisation</t>
        </is>
      </c>
      <c r="D27" s="374" t="inlineStr">
        <is>
          <t>MED</t>
        </is>
      </c>
      <c r="E27" s="377" t="inlineStr">
        <is>
          <t>○ TODO</t>
        </is>
      </c>
      <c r="F27" s="372" t="inlineStr">
        <is>
          <t>CRM Manager</t>
        </is>
      </c>
      <c r="G27" s="373" t="inlineStr">
        <is>
          <t>Upsell script training. See Hormozi 'Menu Upsell' framework below.</t>
        </is>
      </c>
    </row>
    <row r="28" ht="32" customHeight="1" s="363">
      <c r="B28" s="368" t="n">
        <v>24</v>
      </c>
      <c r="C28" s="369" t="inlineStr">
        <is>
          <t>Alex Hormozi 'Menu Upsell' framework</t>
        </is>
      </c>
      <c r="D28" s="374" t="inlineStr">
        <is>
          <t>MED</t>
        </is>
      </c>
      <c r="E28" s="377" t="inlineStr">
        <is>
          <t>○ TODO</t>
        </is>
      </c>
      <c r="F28" s="372" t="inlineStr">
        <is>
          <t>CRM / Training</t>
        </is>
      </c>
      <c r="G28" s="373" t="inlineStr">
        <is>
          <t>1. Unsell  2. Prescribe  3. Choice (A or B?)  4. Card on file. Train all concierge staff.</t>
        </is>
      </c>
    </row>
    <row r="29" ht="32" customHeight="1" s="363">
      <c r="B29" s="368" t="n">
        <v>25</v>
      </c>
      <c r="C29" s="369" t="inlineStr">
        <is>
          <t>Arpit sales improvement in hotel</t>
        </is>
      </c>
      <c r="D29" s="374" t="inlineStr">
        <is>
          <t>MED</t>
        </is>
      </c>
      <c r="E29" s="377" t="inlineStr">
        <is>
          <t>○ TODO</t>
        </is>
      </c>
      <c r="F29" s="372" t="inlineStr">
        <is>
          <t>Sales</t>
        </is>
      </c>
      <c r="G29" s="373" t="inlineStr">
        <is>
          <t>Hotel partnership sales. Requires dedicated hotel liaison approach.</t>
        </is>
      </c>
    </row>
    <row r="30" ht="32" customHeight="1" s="363">
      <c r="B30" s="368" t="n">
        <v>26</v>
      </c>
      <c r="C30" s="369" t="inlineStr">
        <is>
          <t>Excelsior hotel packages: GHE Spa Package</t>
        </is>
      </c>
      <c r="D30" s="374" t="inlineStr">
        <is>
          <t>MED</t>
        </is>
      </c>
      <c r="E30" s="377" t="inlineStr">
        <is>
          <t>○ TODO</t>
        </is>
      </c>
      <c r="F30" s="372" t="inlineStr">
        <is>
          <t>Sales / Excl</t>
        </is>
      </c>
      <c r="G30" s="373" t="inlineStr">
        <is>
          <t>Package: Spa day + Lunch + Outdoor pool. Cross-sell with hotel guests.</t>
        </is>
      </c>
    </row>
    <row r="31" ht="32" customHeight="1" s="363">
      <c r="B31" s="368" t="n">
        <v>27</v>
      </c>
      <c r="C31" s="369" t="inlineStr">
        <is>
          <t>Spa day + Lunch + Outdoor pool package</t>
        </is>
      </c>
      <c r="D31" s="374" t="inlineStr">
        <is>
          <t>MED</t>
        </is>
      </c>
      <c r="E31" s="377" t="inlineStr">
        <is>
          <t>○ TODO</t>
        </is>
      </c>
      <c r="F31" s="372" t="inlineStr">
        <is>
          <t>Sales</t>
        </is>
      </c>
      <c r="G31" s="373" t="inlineStr">
        <is>
          <t>Premium day-pass concept. Requires F&amp;B partnership with hotel.</t>
        </is>
      </c>
    </row>
    <row r="32" ht="32" customHeight="1" s="363">
      <c r="A32" s="378" t="n"/>
      <c r="B32" s="368" t="n">
        <v>28</v>
      </c>
      <c r="C32" s="369" t="inlineStr">
        <is>
          <t>4 levers of growth: affiliates, referral, ads, cold outreach</t>
        </is>
      </c>
      <c r="D32" s="370" t="inlineStr">
        <is>
          <t>HIGH</t>
        </is>
      </c>
      <c r="E32" s="375" t="inlineStr">
        <is>
          <t>→ ACTIVE</t>
        </is>
      </c>
      <c r="F32" s="372" t="inlineStr">
        <is>
          <t>CMO</t>
        </is>
      </c>
      <c r="G32" s="373" t="inlineStr">
        <is>
          <t>Strategic growth framework. All 4 channels need activation.</t>
        </is>
      </c>
    </row>
    <row r="33" ht="32" customHeight="1" s="363">
      <c r="A33" s="382" t="inlineStr">
        <is>
          <t>SYSTEMS &amp; KPIs</t>
        </is>
      </c>
      <c r="B33" s="368" t="n">
        <v>29</v>
      </c>
      <c r="C33" s="369" t="inlineStr">
        <is>
          <t>CRM team Roster, QC, KPIs, Bonuses, &amp; Management systems</t>
        </is>
      </c>
      <c r="D33" s="370" t="inlineStr">
        <is>
          <t>HIGH</t>
        </is>
      </c>
      <c r="E33" s="375" t="inlineStr">
        <is>
          <t>→ ACTIVE</t>
        </is>
      </c>
      <c r="F33" s="372" t="inlineStr">
        <is>
          <t>CRM Manager</t>
        </is>
      </c>
      <c r="G33" s="373" t="inlineStr">
        <is>
          <t>Full CRM ops framework. Being built in carisma-support repo.</t>
        </is>
      </c>
    </row>
    <row r="34" ht="32" customHeight="1" s="363">
      <c r="A34" s="378" t="n"/>
      <c r="B34" s="368" t="n">
        <v>30</v>
      </c>
      <c r="C34" s="369" t="inlineStr">
        <is>
          <t>Full funnel KPIs buildout</t>
        </is>
      </c>
      <c r="D34" s="370" t="inlineStr">
        <is>
          <t>HIGH</t>
        </is>
      </c>
      <c r="E34" s="375" t="inlineStr">
        <is>
          <t>→ ACTIVE</t>
        </is>
      </c>
      <c r="F34" s="372" t="inlineStr">
        <is>
          <t>CMO / CRM</t>
        </is>
      </c>
      <c r="G34" s="373" t="inlineStr">
        <is>
          <t>Lead → Booking → Show → Rebook funnel. Needs per-brand dashboards.</t>
        </is>
      </c>
    </row>
    <row r="35" ht="32" customHeight="1" s="363">
      <c r="A35" s="383" t="inlineStr">
        <is>
          <t>CULTURE &amp; TRAINING</t>
        </is>
      </c>
      <c r="B35" s="368" t="n">
        <v>31</v>
      </c>
      <c r="C35" s="369" t="inlineStr">
        <is>
          <t>Trainer routine — standard operating procedures</t>
        </is>
      </c>
      <c r="D35" s="374" t="inlineStr">
        <is>
          <t>MED</t>
        </is>
      </c>
      <c r="E35" s="377" t="inlineStr">
        <is>
          <t>○ TODO</t>
        </is>
      </c>
      <c r="F35" s="372" t="inlineStr">
        <is>
          <t>HR / Training</t>
        </is>
      </c>
      <c r="G35" s="373" t="inlineStr">
        <is>
          <t>Create training SOP per role. Onboard new staff consistently.</t>
        </is>
      </c>
    </row>
    <row r="36" ht="32" customHeight="1" s="363">
      <c r="B36" s="368" t="n">
        <v>32</v>
      </c>
      <c r="C36" s="369" t="inlineStr">
        <is>
          <t>Smiling at all times: unreasonable hospitality</t>
        </is>
      </c>
      <c r="D36" s="374" t="inlineStr">
        <is>
          <t>MED</t>
        </is>
      </c>
      <c r="E36" s="375" t="inlineStr">
        <is>
          <t>→ ACTIVE</t>
        </is>
      </c>
      <c r="F36" s="372" t="inlineStr">
        <is>
          <t>All Managers</t>
        </is>
      </c>
      <c r="G36" s="373" t="inlineStr">
        <is>
          <t>Culture standard. Reinforce in daily briefings. Mystery shopper audits.</t>
        </is>
      </c>
    </row>
    <row r="37" ht="32" customHeight="1" s="363">
      <c r="B37" s="368" t="n">
        <v>33</v>
      </c>
      <c r="C37" s="369" t="inlineStr">
        <is>
          <t>Receptionist covered by therapists → phone quality drops</t>
        </is>
      </c>
      <c r="D37" s="370" t="inlineStr">
        <is>
          <t>HIGH</t>
        </is>
      </c>
      <c r="E37" s="375" t="inlineStr">
        <is>
          <t>→ ACTIVE</t>
        </is>
      </c>
      <c r="F37" s="372" t="inlineStr">
        <is>
          <t>Ops</t>
        </is>
      </c>
      <c r="G37" s="373" t="inlineStr">
        <is>
          <t>When therapist covers reception, calls aren't handled well. Fix with dedicated reception.</t>
        </is>
      </c>
    </row>
    <row r="38" ht="32" customHeight="1" s="363">
      <c r="B38" s="368" t="n">
        <v>34</v>
      </c>
      <c r="C38" s="369" t="inlineStr">
        <is>
          <t>Excelsior towels — need someone dedicated there</t>
        </is>
      </c>
      <c r="D38" s="376" t="inlineStr">
        <is>
          <t>LOW</t>
        </is>
      </c>
      <c r="E38" s="377" t="inlineStr">
        <is>
          <t>○ TODO</t>
        </is>
      </c>
      <c r="F38" s="372" t="inlineStr">
        <is>
          <t>Excl Manager</t>
        </is>
      </c>
      <c r="G38" s="373" t="inlineStr">
        <is>
          <t>Towel management issue. Assign to spa attendant or reception.</t>
        </is>
      </c>
    </row>
    <row r="39" ht="32" customHeight="1" s="363">
      <c r="A39" s="378" t="n"/>
      <c r="B39" s="368" t="n">
        <v>35</v>
      </c>
      <c r="C39" s="369" t="inlineStr">
        <is>
          <t>Excelsior get reception to cover</t>
        </is>
      </c>
      <c r="D39" s="376" t="inlineStr">
        <is>
          <t>LOW</t>
        </is>
      </c>
      <c r="E39" s="377" t="inlineStr">
        <is>
          <t>○ TODO</t>
        </is>
      </c>
      <c r="F39" s="372" t="inlineStr">
        <is>
          <t>Excl Manager</t>
        </is>
      </c>
      <c r="G39" s="373" t="inlineStr">
        <is>
          <t>Reception coverage gap at Excelsior. Kemi RA should handle.</t>
        </is>
      </c>
    </row>
    <row r="41">
      <c r="A41" s="384" t="inlineStr">
        <is>
          <t>SUMMARY</t>
        </is>
      </c>
    </row>
    <row r="42">
      <c r="A42" s="385" t="inlineStr">
        <is>
          <t>Total initiatives</t>
        </is>
      </c>
      <c r="B42" s="386" t="n">
        <v>33</v>
      </c>
    </row>
    <row r="43">
      <c r="A43" s="385" t="inlineStr">
        <is>
          <t>✓ ANALYSED (this session)</t>
        </is>
      </c>
      <c r="B43" s="386" t="n">
        <v>9</v>
      </c>
    </row>
    <row r="44">
      <c r="A44" s="385" t="inlineStr">
        <is>
          <t>→ ACTIVE (in progress)</t>
        </is>
      </c>
      <c r="B44" s="386" t="n">
        <v>9</v>
      </c>
    </row>
    <row r="45">
      <c r="A45" s="385" t="inlineStr">
        <is>
          <t>○ TODO (not started)</t>
        </is>
      </c>
      <c r="B45" s="386" t="n">
        <v>17</v>
      </c>
    </row>
    <row r="46">
      <c r="A46" s="385" t="inlineStr">
        <is>
          <t>HIGH priority</t>
        </is>
      </c>
      <c r="B46" s="386" t="n">
        <v>14</v>
      </c>
    </row>
    <row r="47">
      <c r="A47" s="385" t="inlineStr">
        <is>
          <t>MED priority</t>
        </is>
      </c>
      <c r="B47" s="386" t="n">
        <v>16</v>
      </c>
    </row>
    <row r="48">
      <c r="A48" s="385" t="inlineStr">
        <is>
          <t>LOW priority</t>
        </is>
      </c>
      <c r="B48" s="386" t="n">
        <v>5</v>
      </c>
    </row>
    <row r="50">
      <c r="A50" s="387" t="inlineStr">
        <is>
          <t>LEGEND</t>
        </is>
      </c>
    </row>
    <row r="51">
      <c r="A51" s="388" t="inlineStr">
        <is>
          <t>Priority:</t>
        </is>
      </c>
      <c r="B51" s="389" t="inlineStr">
        <is>
          <t>HIGH = urgent / high financial impact</t>
        </is>
      </c>
      <c r="C51" s="390" t="n"/>
    </row>
    <row r="52">
      <c r="B52" s="389" t="inlineStr">
        <is>
          <t>MED = important but not blocking</t>
        </is>
      </c>
      <c r="C52" s="391" t="n"/>
    </row>
    <row r="53">
      <c r="B53" s="389" t="inlineStr">
        <is>
          <t>LOW = nice-to-have / future</t>
        </is>
      </c>
      <c r="C53" s="392" t="n"/>
    </row>
    <row r="54">
      <c r="A54" s="388" t="inlineStr">
        <is>
          <t>Status:</t>
        </is>
      </c>
      <c r="B54" s="389" t="inlineStr">
        <is>
          <t>✓ ANALYSED = data analysis completed this session</t>
        </is>
      </c>
      <c r="C54" s="392" t="n"/>
    </row>
    <row r="55">
      <c r="B55" s="389" t="inlineStr">
        <is>
          <t>→ ACTIVE = work in progress</t>
        </is>
      </c>
      <c r="C55" s="393" t="n"/>
    </row>
    <row r="56">
      <c r="B56" s="389" t="inlineStr">
        <is>
          <t>○ TODO = not started</t>
        </is>
      </c>
      <c r="C56" s="394" t="n"/>
    </row>
  </sheetData>
  <mergeCells count="10">
    <mergeCell ref="A1:G1"/>
    <mergeCell ref="A13:A18"/>
    <mergeCell ref="A35:A39"/>
    <mergeCell ref="A33:A34"/>
    <mergeCell ref="A50:G50"/>
    <mergeCell ref="A2:G2"/>
    <mergeCell ref="A5:A12"/>
    <mergeCell ref="A25:A32"/>
    <mergeCell ref="A19:A24"/>
    <mergeCell ref="A41:G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2" customWidth="1" style="363" min="1" max="1"/>
    <col width="14" customWidth="1" style="363" min="2" max="3"/>
    <col hidden="1" width="8" customWidth="1" style="363" min="4" max="4"/>
    <col hidden="1" width="18.57" customWidth="1" style="363" min="5" max="5"/>
    <col hidden="1" width="8" customWidth="1" style="363" min="6" max="6"/>
    <col hidden="1" width="14" customWidth="1" style="363" min="7" max="7"/>
    <col width="14" customWidth="1" style="363" min="8" max="8"/>
    <col width="8" customWidth="1" style="363" min="9" max="11"/>
    <col width="14" customWidth="1" style="363" min="12" max="12"/>
    <col width="26" customWidth="1" style="363" min="13" max="13"/>
    <col width="18" customWidth="1" style="363" min="14" max="14"/>
    <col width="22" customWidth="1" style="363" min="15" max="15"/>
    <col width="10" customWidth="1" style="363" min="16" max="16"/>
    <col width="16" customWidth="1" style="363" min="17" max="18"/>
    <col width="14" customWidth="1" style="363" min="19" max="19"/>
    <col width="18" customWidth="1" style="363" min="20" max="20"/>
    <col width="14" customWidth="1" style="363" min="21" max="21"/>
  </cols>
  <sheetData>
    <row r="1" ht="31.5" customHeight="1" s="363">
      <c r="A1" s="395" t="inlineStr">
        <is>
          <t>CARISMA SPA &amp; WELLNESS — OPTIMAL STAFFING MODEL</t>
        </is>
      </c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8" customHeight="1" s="363">
      <c r="A2" s="396" t="inlineStr">
        <is>
          <t>HC Budget = Revenue × 35% (Lean) or 40% (Revenue-Max)  |  Operating Hours: 09:00–20:00, 7 Days/Week  |  Shift A: 09:00–18:00  |  Shift B: 11:00–20:00</t>
        </is>
      </c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9" t="inlineStr">
        <is>
          <t>LOCATION</t>
        </is>
      </c>
      <c r="B4" s="9" t="inlineStr">
        <is>
          <t>MONTHLY REV (€)</t>
        </is>
      </c>
      <c r="C4" s="9" t="inlineStr">
        <is>
          <t>TIER</t>
        </is>
      </c>
      <c r="D4" s="397" t="inlineStr">
        <is>
          <t>◀  35% HC BUDGET — FULLY LOADED COST  ▶</t>
        </is>
      </c>
      <c r="E4" s="398" t="n"/>
      <c r="F4" s="398" t="n"/>
      <c r="G4" s="399" t="n"/>
      <c r="H4" s="293" t="inlineStr">
        <is>
          <t>◀  40% HC BUDGET — FULLY LOADED COST  ▶</t>
        </is>
      </c>
      <c r="I4" s="398" t="n"/>
      <c r="J4" s="398" t="n"/>
      <c r="K4" s="399" t="n"/>
      <c r="L4" s="14" t="inlineStr">
        <is>
          <t>DELTA COST</t>
        </is>
      </c>
      <c r="M4" s="9" t="inlineStr">
        <is>
          <t>NOTES</t>
        </is>
      </c>
      <c r="N4" s="15" t="inlineStr">
        <is>
          <t>◀  ACTUALS — APR 2026 (REAL HEADCOUNT)  ▶</t>
        </is>
      </c>
      <c r="V4" s="7" t="n"/>
      <c r="W4" s="7" t="n"/>
      <c r="X4" s="7" t="n"/>
      <c r="Y4" s="7" t="n"/>
      <c r="Z4" s="7" t="n"/>
    </row>
    <row r="5" ht="30" customHeight="1" s="363">
      <c r="A5" s="16" t="n"/>
      <c r="B5" s="16" t="n"/>
      <c r="C5" s="16" t="n"/>
      <c r="D5" s="17" t="inlineStr">
        <is>
          <t>Budget (€)</t>
        </is>
      </c>
      <c r="E5" s="17" t="inlineStr">
        <is>
          <t>Staff Mix</t>
        </is>
      </c>
      <c r="F5" s="17" t="inlineStr">
        <is>
          <t>FTE</t>
        </is>
      </c>
      <c r="G5" s="17" t="inlineStr">
        <is>
          <t>Cost (€)</t>
        </is>
      </c>
      <c r="H5" s="18" t="inlineStr">
        <is>
          <t>Budget (€)</t>
        </is>
      </c>
      <c r="I5" s="18" t="inlineStr">
        <is>
          <t>Staff Mix</t>
        </is>
      </c>
      <c r="J5" s="18" t="inlineStr">
        <is>
          <t>FTE</t>
        </is>
      </c>
      <c r="K5" s="18" t="inlineStr">
        <is>
          <t>Cost (€)</t>
        </is>
      </c>
      <c r="L5" s="19" t="inlineStr">
        <is>
          <t>40% – 35% Cost</t>
        </is>
      </c>
      <c r="M5" s="16" t="n"/>
      <c r="N5" s="20" t="inlineStr">
        <is>
          <t>2026 Target Rev (€/mo)</t>
        </is>
      </c>
      <c r="O5" s="20" t="inlineStr">
        <is>
          <t>Actual Staff Mix</t>
        </is>
      </c>
      <c r="P5" s="20" t="inlineStr">
        <is>
          <t>Actual FTE</t>
        </is>
      </c>
      <c r="Q5" s="20" t="inlineStr">
        <is>
          <t>Gross HC (€/mo)</t>
        </is>
      </c>
      <c r="R5" s="20" t="inlineStr">
        <is>
          <t>Loaded HC (×1.118)</t>
        </is>
      </c>
      <c r="S5" s="20" t="inlineStr">
        <is>
          <t>HC % of Rev</t>
        </is>
      </c>
      <c r="T5" s="20" t="inlineStr">
        <is>
          <t>vs 40% Delta (€)</t>
        </is>
      </c>
      <c r="U5" s="20" t="inlineStr">
        <is>
          <t>Status</t>
        </is>
      </c>
      <c r="V5" s="7" t="n"/>
      <c r="W5" s="7" t="n"/>
      <c r="X5" s="7" t="n"/>
      <c r="Y5" s="7" t="n"/>
      <c r="Z5" s="7" t="n"/>
    </row>
    <row r="6" ht="36" customHeight="1" s="363">
      <c r="A6" s="21" t="inlineStr">
        <is>
          <t>Inter</t>
        </is>
      </c>
      <c r="B6" s="22" t="n">
        <v>49475</v>
      </c>
      <c r="C6" s="23" t="inlineStr">
        <is>
          <t>Tier 1</t>
        </is>
      </c>
      <c r="D6" s="24">
        <f>B6*0.35</f>
        <v/>
      </c>
      <c r="E6" s="25" t="inlineStr">
        <is>
          <t>9T + 2R + ⅓RM</t>
        </is>
      </c>
      <c r="F6" s="26" t="n">
        <v>11.33</v>
      </c>
      <c r="G6" s="27" t="n">
        <v>21904</v>
      </c>
      <c r="H6" s="28">
        <f>B6*0.4</f>
        <v/>
      </c>
      <c r="I6" s="29" t="inlineStr">
        <is>
          <t>9T + 2R + ⅓RM</t>
        </is>
      </c>
      <c r="J6" s="30" t="n">
        <v>11.33</v>
      </c>
      <c r="K6" s="31" t="n">
        <v>21904</v>
      </c>
      <c r="L6" s="32">
        <f>K6-G6</f>
        <v/>
      </c>
      <c r="M6" s="33" t="inlineStr">
        <is>
          <t>2025 actual: €593,700/yr÷12 (ex-VAT). RM1 cluster: Inter+Hugos+Hyatt. ⅓ FTE each. Fully loaded = SSC-loaded base + treatment 4.5% + retail 15% + RM 0.5% cluster rev commission.</t>
        </is>
      </c>
      <c r="N6" s="34" t="n">
        <v>62610</v>
      </c>
      <c r="O6" s="35" t="inlineStr">
        <is>
          <t>7T+3A+1S+1RA</t>
        </is>
      </c>
      <c r="P6" s="36" t="n">
        <v>12</v>
      </c>
      <c r="Q6" s="37" t="n">
        <v>25900</v>
      </c>
      <c r="R6" s="34">
        <f>Q6*1.118</f>
        <v/>
      </c>
      <c r="S6" s="38">
        <f>R6/N6</f>
        <v/>
      </c>
      <c r="T6" s="39">
        <f>N6*0.4-R6</f>
        <v/>
      </c>
      <c r="U6" s="40">
        <f>IF(S6&gt;0.45,"❌ OVER",IF(S6&lt;0.35,"⚠ UNDER","✓ OK"))</f>
        <v/>
      </c>
      <c r="V6" s="7" t="n"/>
      <c r="W6" s="7" t="n"/>
      <c r="X6" s="7" t="n"/>
      <c r="Y6" s="7" t="n"/>
      <c r="Z6" s="7" t="n"/>
    </row>
    <row r="7" ht="36" customHeight="1" s="363">
      <c r="A7" s="21" t="inlineStr">
        <is>
          <t>Hugos</t>
        </is>
      </c>
      <c r="B7" s="22" t="n">
        <v>47546</v>
      </c>
      <c r="C7" s="23" t="inlineStr">
        <is>
          <t>Tier 1</t>
        </is>
      </c>
      <c r="D7" s="24">
        <f>B7*0.35</f>
        <v/>
      </c>
      <c r="E7" s="25" t="inlineStr">
        <is>
          <t>9T + 2R + ⅓RM</t>
        </is>
      </c>
      <c r="F7" s="26" t="n">
        <v>11.33</v>
      </c>
      <c r="G7" s="27" t="n">
        <v>21797</v>
      </c>
      <c r="H7" s="28">
        <f>B7*0.4</f>
        <v/>
      </c>
      <c r="I7" s="29" t="inlineStr">
        <is>
          <t>9T + 2R + ⅓RM</t>
        </is>
      </c>
      <c r="J7" s="30" t="n">
        <v>11.33</v>
      </c>
      <c r="K7" s="31" t="n">
        <v>21797</v>
      </c>
      <c r="L7" s="32">
        <f>K7-G7</f>
        <v/>
      </c>
      <c r="M7" s="33" t="inlineStr">
        <is>
          <t>2025 actual: €570,552/yr÷12 (ex-VAT). RM1 cluster: Inter+Hugos+Hyatt. ⅓ FTE. Sister site to Inter — identical schedule structure.</t>
        </is>
      </c>
      <c r="N7" s="34" t="n">
        <v>58800</v>
      </c>
      <c r="O7" s="35" t="inlineStr">
        <is>
          <t>7T+2A+1S+1PT</t>
        </is>
      </c>
      <c r="P7" s="36" t="n">
        <v>10.5</v>
      </c>
      <c r="Q7" s="37" t="n">
        <v>21750</v>
      </c>
      <c r="R7" s="34">
        <f>Q7*1.118</f>
        <v/>
      </c>
      <c r="S7" s="38">
        <f>R7/N7</f>
        <v/>
      </c>
      <c r="T7" s="39">
        <f>N7*0.4-R7</f>
        <v/>
      </c>
      <c r="U7" s="40">
        <f>IF(S7&gt;0.45,"❌ OVER",IF(S7&lt;0.35,"⚠ UNDER","✓ OK"))</f>
        <v/>
      </c>
      <c r="V7" s="7" t="n"/>
      <c r="W7" s="7" t="n"/>
      <c r="X7" s="7" t="n"/>
      <c r="Y7" s="7" t="n"/>
      <c r="Z7" s="7" t="n"/>
    </row>
    <row r="8" ht="36" customHeight="1" s="363">
      <c r="A8" s="41" t="inlineStr">
        <is>
          <t>Ramla</t>
        </is>
      </c>
      <c r="B8" s="42" t="n">
        <v>29886</v>
      </c>
      <c r="C8" s="43" t="inlineStr">
        <is>
          <t>Tier 2</t>
        </is>
      </c>
      <c r="D8" s="24">
        <f>B8*0.35</f>
        <v/>
      </c>
      <c r="E8" s="25" t="inlineStr">
        <is>
          <t>5T + 2R + ⅓RM</t>
        </is>
      </c>
      <c r="F8" s="26" t="n">
        <v>7.33</v>
      </c>
      <c r="G8" s="27" t="n">
        <v>14104</v>
      </c>
      <c r="H8" s="28">
        <f>B8*0.4</f>
        <v/>
      </c>
      <c r="I8" s="29" t="inlineStr">
        <is>
          <t>5T + 2R + ⅓RM</t>
        </is>
      </c>
      <c r="J8" s="30" t="n">
        <v>7.33</v>
      </c>
      <c r="K8" s="31" t="n">
        <v>14104</v>
      </c>
      <c r="L8" s="32">
        <f>K8-G8</f>
        <v/>
      </c>
      <c r="M8" s="44" t="inlineStr">
        <is>
          <t>2025 actual: €358,632/yr÷12 (ex-VAT). RM2 cluster: Ramla+Riviera+Sunny Coast. ⅓ FTE each.</t>
        </is>
      </c>
      <c r="N8" s="34" t="n">
        <v>39003</v>
      </c>
      <c r="O8" s="35" t="inlineStr">
        <is>
          <t>6T+2A+1S+1RA+1PT</t>
        </is>
      </c>
      <c r="P8" s="36" t="n">
        <v>10.5</v>
      </c>
      <c r="Q8" s="37" t="n">
        <v>19100</v>
      </c>
      <c r="R8" s="34">
        <f>Q8*1.118</f>
        <v/>
      </c>
      <c r="S8" s="38">
        <f>R8/N8</f>
        <v/>
      </c>
      <c r="T8" s="39">
        <f>N8*0.4-R8</f>
        <v/>
      </c>
      <c r="U8" s="40">
        <f>IF(S8&gt;0.45,"❌ OVER",IF(S8&lt;0.35,"⚠ UNDER","✓ OK"))</f>
        <v/>
      </c>
      <c r="V8" s="7" t="n"/>
      <c r="W8" s="7" t="n"/>
      <c r="X8" s="7" t="n"/>
      <c r="Y8" s="7" t="n"/>
      <c r="Z8" s="7" t="n"/>
    </row>
    <row r="9" ht="36" customHeight="1" s="363">
      <c r="A9" s="41" t="inlineStr">
        <is>
          <t>Hyatt</t>
        </is>
      </c>
      <c r="B9" s="42" t="n">
        <v>25358</v>
      </c>
      <c r="C9" s="43" t="inlineStr">
        <is>
          <t>Tier 2</t>
        </is>
      </c>
      <c r="D9" s="24">
        <f>B9*0.35</f>
        <v/>
      </c>
      <c r="E9" s="25" t="inlineStr">
        <is>
          <t>4T + 1R + ⅓RM</t>
        </is>
      </c>
      <c r="F9" s="26" t="n">
        <v>5.33</v>
      </c>
      <c r="G9" s="27" t="n">
        <v>10609</v>
      </c>
      <c r="H9" s="28">
        <f>B9*0.4</f>
        <v/>
      </c>
      <c r="I9" s="29" t="inlineStr">
        <is>
          <t>4T + 1R + ⅓RM</t>
        </is>
      </c>
      <c r="J9" s="30" t="n">
        <v>5.33</v>
      </c>
      <c r="K9" s="31" t="n">
        <v>10609</v>
      </c>
      <c r="L9" s="32">
        <f>K9-G9</f>
        <v/>
      </c>
      <c r="M9" s="44" t="inlineStr">
        <is>
          <t>2025 actual: €304,296/yr÷12 (ex-VAT). RM1 cluster: Inter+Hugos+Hyatt. ⅓ FTE each.</t>
        </is>
      </c>
      <c r="N9" s="34" t="n">
        <v>30290</v>
      </c>
      <c r="O9" s="35" t="inlineStr">
        <is>
          <t>5T+1S</t>
        </is>
      </c>
      <c r="P9" s="36" t="n">
        <v>6</v>
      </c>
      <c r="Q9" s="37" t="n">
        <v>11600</v>
      </c>
      <c r="R9" s="34">
        <f>Q9*1.118</f>
        <v/>
      </c>
      <c r="S9" s="38">
        <f>R9/N9</f>
        <v/>
      </c>
      <c r="T9" s="39">
        <f>N9*0.4-R9</f>
        <v/>
      </c>
      <c r="U9" s="40">
        <f>IF(S9&gt;0.45,"❌ OVER",IF(S9&lt;0.35,"⚠ UNDER","✓ OK"))</f>
        <v/>
      </c>
      <c r="V9" s="7" t="n"/>
      <c r="W9" s="7" t="n"/>
      <c r="X9" s="7" t="n"/>
      <c r="Y9" s="7" t="n"/>
      <c r="Z9" s="7" t="n"/>
    </row>
    <row r="10" ht="36" customHeight="1" s="363">
      <c r="A10" s="41" t="inlineStr">
        <is>
          <t>Excelsior</t>
        </is>
      </c>
      <c r="B10" s="42" t="n">
        <v>24263</v>
      </c>
      <c r="C10" s="43" t="inlineStr">
        <is>
          <t>Tier 2</t>
        </is>
      </c>
      <c r="D10" s="24">
        <f>B10*0.35</f>
        <v/>
      </c>
      <c r="E10" s="25" t="inlineStr">
        <is>
          <t>4T + 1R + ⅓RM</t>
        </is>
      </c>
      <c r="F10" s="26" t="n">
        <v>5.33</v>
      </c>
      <c r="G10" s="27" t="n">
        <v>10548</v>
      </c>
      <c r="H10" s="28">
        <f>B10*0.4</f>
        <v/>
      </c>
      <c r="I10" s="29" t="inlineStr">
        <is>
          <t>4T + 1R + ⅓RM</t>
        </is>
      </c>
      <c r="J10" s="30" t="n">
        <v>5.33</v>
      </c>
      <c r="K10" s="31" t="n">
        <v>10548</v>
      </c>
      <c r="L10" s="32">
        <f>K10-G10</f>
        <v/>
      </c>
      <c r="M10" s="44" t="inlineStr">
        <is>
          <t>2025 actual: €145,578÷6mo (ex-VAT, NEW). RM3 cluster: Excelsior+Novotel+Sliema. ⅓ FTE each.</t>
        </is>
      </c>
      <c r="N10" s="34" t="n">
        <v>29363</v>
      </c>
      <c r="O10" s="35" t="inlineStr">
        <is>
          <t>4T+1A+1S+1RA+1PT</t>
        </is>
      </c>
      <c r="P10" s="36" t="n">
        <v>7.5</v>
      </c>
      <c r="Q10" s="37" t="n">
        <v>14400</v>
      </c>
      <c r="R10" s="34">
        <f>Q10*1.118</f>
        <v/>
      </c>
      <c r="S10" s="38">
        <f>R10/N10</f>
        <v/>
      </c>
      <c r="T10" s="39">
        <f>N10*0.4-R10</f>
        <v/>
      </c>
      <c r="U10" s="40">
        <f>IF(S10&gt;0.45,"❌ OVER",IF(S10&lt;0.35,"⚠ UNDER","✓ OK"))</f>
        <v/>
      </c>
      <c r="V10" s="7" t="n"/>
      <c r="W10" s="7" t="n"/>
      <c r="X10" s="7" t="n"/>
      <c r="Y10" s="7" t="n"/>
      <c r="Z10" s="7" t="n"/>
    </row>
    <row r="11" ht="36" customHeight="1" s="363">
      <c r="A11" s="45" t="inlineStr">
        <is>
          <t>Riviera</t>
        </is>
      </c>
      <c r="B11" s="46" t="n">
        <v>19936</v>
      </c>
      <c r="C11" s="47" t="inlineStr">
        <is>
          <t>Tier 3</t>
        </is>
      </c>
      <c r="D11" s="24">
        <f>B11*0.35</f>
        <v/>
      </c>
      <c r="E11" s="25" t="inlineStr">
        <is>
          <t>4T + 1R + ⅓RM</t>
        </is>
      </c>
      <c r="F11" s="26" t="n">
        <v>5.33</v>
      </c>
      <c r="G11" s="27" t="n">
        <v>10307</v>
      </c>
      <c r="H11" s="28">
        <f>B11*0.4</f>
        <v/>
      </c>
      <c r="I11" s="29" t="inlineStr">
        <is>
          <t>4T + 1R + ⅓RM</t>
        </is>
      </c>
      <c r="J11" s="30" t="n">
        <v>5.33</v>
      </c>
      <c r="K11" s="31" t="n">
        <v>10307</v>
      </c>
      <c r="L11" s="32">
        <f>K11-G11</f>
        <v/>
      </c>
      <c r="M11" s="48" t="inlineStr">
        <is>
          <t>2025 actual: €239,232/yr÷12 (ex-VAT). RM2 cluster: Ramla+Riviera+Sunny Coast. ⅓ FTE each.</t>
        </is>
      </c>
      <c r="N11" s="34" t="n">
        <v>25513</v>
      </c>
      <c r="O11" s="35" t="inlineStr">
        <is>
          <t>3T+1A+1S</t>
        </is>
      </c>
      <c r="P11" s="36" t="n">
        <v>5</v>
      </c>
      <c r="Q11" s="37" t="n">
        <v>10000</v>
      </c>
      <c r="R11" s="34">
        <f>Q11*1.118</f>
        <v/>
      </c>
      <c r="S11" s="38">
        <f>R11/N11</f>
        <v/>
      </c>
      <c r="T11" s="39">
        <f>N11*0.4-R11</f>
        <v/>
      </c>
      <c r="U11" s="40">
        <f>IF(S11&gt;0.45,"❌ OVER",IF(S11&lt;0.35,"⚠ UNDER","✓ OK"))</f>
        <v/>
      </c>
      <c r="V11" s="7" t="n"/>
      <c r="W11" s="7" t="n"/>
      <c r="X11" s="7" t="n"/>
      <c r="Y11" s="7" t="n"/>
      <c r="Z11" s="7" t="n"/>
    </row>
    <row r="12" ht="36" customHeight="1" s="363">
      <c r="A12" s="45" t="inlineStr">
        <is>
          <t>Sunny Coast (Odycy)</t>
        </is>
      </c>
      <c r="B12" s="46" t="n">
        <v>18204</v>
      </c>
      <c r="C12" s="47" t="inlineStr">
        <is>
          <t>Tier 3</t>
        </is>
      </c>
      <c r="D12" s="24">
        <f>B12*0.35</f>
        <v/>
      </c>
      <c r="E12" s="25" t="inlineStr">
        <is>
          <t>3T + 1R + ⅓RM</t>
        </is>
      </c>
      <c r="F12" s="26" t="n">
        <v>4.33</v>
      </c>
      <c r="G12" s="27" t="n">
        <v>8533</v>
      </c>
      <c r="H12" s="28">
        <f>B12*0.4</f>
        <v/>
      </c>
      <c r="I12" s="29" t="inlineStr">
        <is>
          <t>3T + 1R + ⅓RM</t>
        </is>
      </c>
      <c r="J12" s="30" t="n">
        <v>4.33</v>
      </c>
      <c r="K12" s="31" t="n">
        <v>8533</v>
      </c>
      <c r="L12" s="32">
        <f>K12-G12</f>
        <v/>
      </c>
      <c r="M12" s="48" t="inlineStr">
        <is>
          <t>2025 actual: €218,448/yr÷12 (ex-VAT). RM2 cluster: Ramla+Riviera+Sunny Coast. ⅓ FTE each.</t>
        </is>
      </c>
      <c r="N12" s="34" t="n">
        <v>24078</v>
      </c>
      <c r="O12" s="35" t="inlineStr">
        <is>
          <t>4T+1A+1S</t>
        </is>
      </c>
      <c r="P12" s="36" t="n">
        <v>6</v>
      </c>
      <c r="Q12" s="37" t="n">
        <v>11800</v>
      </c>
      <c r="R12" s="34">
        <f>Q12*1.118</f>
        <v/>
      </c>
      <c r="S12" s="38">
        <f>R12/N12</f>
        <v/>
      </c>
      <c r="T12" s="39">
        <f>N12*0.4-R12</f>
        <v/>
      </c>
      <c r="U12" s="40">
        <f>IF(S12&gt;0.45,"❌ OVER",IF(S12&lt;0.35,"⚠ UNDER","✓ OK"))</f>
        <v/>
      </c>
      <c r="V12" s="7" t="n"/>
      <c r="W12" s="7" t="n"/>
      <c r="X12" s="7" t="n"/>
      <c r="Y12" s="7" t="n"/>
      <c r="Z12" s="7" t="n"/>
    </row>
    <row r="13" ht="36" customHeight="1" s="363">
      <c r="A13" s="49" t="inlineStr">
        <is>
          <t>Novotel</t>
        </is>
      </c>
      <c r="B13" s="50" t="n">
        <v>14000</v>
      </c>
      <c r="C13" s="51" t="inlineStr">
        <is>
          <t>Tier 4</t>
        </is>
      </c>
      <c r="D13" s="24">
        <f>B13*0.35</f>
        <v/>
      </c>
      <c r="E13" s="25" t="inlineStr">
        <is>
          <t>2T + ⅓RM</t>
        </is>
      </c>
      <c r="F13" s="26" t="n">
        <v>2.33</v>
      </c>
      <c r="G13" s="27" t="n">
        <v>6149</v>
      </c>
      <c r="H13" s="28">
        <f>B13*0.4</f>
        <v/>
      </c>
      <c r="I13" s="29" t="inlineStr">
        <is>
          <t>2T + ⅓RM</t>
        </is>
      </c>
      <c r="J13" s="30" t="n">
        <v>2.33</v>
      </c>
      <c r="K13" s="31" t="n">
        <v>6149</v>
      </c>
      <c r="L13" s="32">
        <f>K13-G13</f>
        <v/>
      </c>
      <c r="M13" s="52" t="inlineStr">
        <is>
          <t>2026 projected: €168,000/yr (ex-VAT). RM3 cluster: Excelsior+Novotel+Sliema. 2 FT + PT Fri–Sun (€1,092/mo incl.). ⅓ FTE RM.</t>
        </is>
      </c>
      <c r="N13" s="34" t="n">
        <v>16667</v>
      </c>
      <c r="O13" s="35" t="inlineStr">
        <is>
          <t>2T+1A+1S</t>
        </is>
      </c>
      <c r="P13" s="36" t="n">
        <v>4</v>
      </c>
      <c r="Q13" s="37" t="n">
        <v>6800</v>
      </c>
      <c r="R13" s="34">
        <f>Q13*1.118</f>
        <v/>
      </c>
      <c r="S13" s="38">
        <f>R13/N13</f>
        <v/>
      </c>
      <c r="T13" s="39">
        <f>N13*0.4-R13</f>
        <v/>
      </c>
      <c r="U13" s="40">
        <f>IF(S13&gt;0.45,"❌ OVER",IF(S13&lt;0.35,"⚠ UNDER","✓ OK"))</f>
        <v/>
      </c>
      <c r="V13" s="7" t="n"/>
      <c r="W13" s="7" t="n"/>
      <c r="X13" s="7" t="n"/>
      <c r="Y13" s="7" t="n"/>
      <c r="Z13" s="7" t="n"/>
    </row>
    <row r="14" ht="36" customHeight="1" s="363">
      <c r="A14" s="45" t="inlineStr">
        <is>
          <t>Sliema (NEW)</t>
        </is>
      </c>
      <c r="B14" s="46" t="n">
        <v>41667</v>
      </c>
      <c r="C14" s="47" t="inlineStr">
        <is>
          <t>Tier 3</t>
        </is>
      </c>
      <c r="D14" s="24">
        <f>B14*0.35</f>
        <v/>
      </c>
      <c r="E14" s="25" t="inlineStr">
        <is>
          <t>5T + 1R + ⅓RM</t>
        </is>
      </c>
      <c r="F14" s="26" t="n">
        <v>6.33</v>
      </c>
      <c r="G14" s="53" t="n">
        <v>13196</v>
      </c>
      <c r="H14" s="28">
        <f>B14*0.4</f>
        <v/>
      </c>
      <c r="I14" s="29" t="inlineStr">
        <is>
          <t>5T + 1R + ⅓RM</t>
        </is>
      </c>
      <c r="J14" s="30" t="n">
        <v>6.33</v>
      </c>
      <c r="K14" s="54" t="n">
        <v>13196</v>
      </c>
      <c r="L14" s="32">
        <f>K14-G14</f>
        <v/>
      </c>
      <c r="M14" s="48" t="inlineStr">
        <is>
          <t>INA 2025: €426,018/yr ex-VAT. Projected 2026: €500,000/yr. RM3 cluster: Excelsior+Novotel+Sliema. ⅓ FTE. 5 therapists confirmed on Fresha (utilisation check: ~75% FY avg, peak Aug ~93%). 35% budget: €14,583 vs modelled cost ~€13,200 — within budget.</t>
        </is>
      </c>
      <c r="N14" s="34" t="n">
        <v>43250</v>
      </c>
      <c r="O14" s="35" t="inlineStr">
        <is>
          <t>Opening May 2026</t>
        </is>
      </c>
      <c r="P14" s="36" t="n"/>
      <c r="Q14" s="37" t="n"/>
      <c r="R14" s="7" t="inlineStr">
        <is>
          <t>—</t>
        </is>
      </c>
      <c r="S14" s="7" t="inlineStr">
        <is>
          <t>—</t>
        </is>
      </c>
      <c r="T14" s="7" t="inlineStr">
        <is>
          <t>—</t>
        </is>
      </c>
      <c r="U14" s="40" t="inlineStr">
        <is>
          <t>⏳ OPENS MAY</t>
        </is>
      </c>
      <c r="V14" s="7" t="n"/>
      <c r="W14" s="7" t="n"/>
      <c r="X14" s="7" t="n"/>
      <c r="Y14" s="7" t="n"/>
      <c r="Z14" s="7" t="n"/>
    </row>
    <row r="15" ht="24" customHeight="1" s="363">
      <c r="A15" s="9" t="inlineStr">
        <is>
          <t>PORTFOLIO TOTAL</t>
        </is>
      </c>
      <c r="B15" s="55">
        <f>SUM(B6:B14)</f>
        <v/>
      </c>
      <c r="C15" s="56" t="n"/>
      <c r="D15" s="55">
        <f>SUM(D6:D14)</f>
        <v/>
      </c>
      <c r="E15" s="57" t="n"/>
      <c r="F15" s="55">
        <f>SUM(F6:F14)</f>
        <v/>
      </c>
      <c r="G15" s="55">
        <f>SUM(G6:G14)</f>
        <v/>
      </c>
      <c r="H15" s="55">
        <f>SUM(H6:H14)</f>
        <v/>
      </c>
      <c r="I15" s="57" t="n"/>
      <c r="J15" s="55">
        <f>SUM(J6:J14)</f>
        <v/>
      </c>
      <c r="K15" s="55">
        <f>SUM(K6:K14)</f>
        <v/>
      </c>
      <c r="L15" s="55">
        <f>SUM(L6:L14)</f>
        <v/>
      </c>
      <c r="M15" s="57" t="n"/>
      <c r="N15" s="58">
        <f>SUM(N6:N14)</f>
        <v/>
      </c>
      <c r="O15" s="59" t="inlineStr">
        <is>
          <t>9 locations</t>
        </is>
      </c>
      <c r="P15" s="60">
        <f>SUM(P6:P14)</f>
        <v/>
      </c>
      <c r="Q15" s="61">
        <f>SUM(Q6:Q14)</f>
        <v/>
      </c>
      <c r="R15" s="58">
        <f>SUM(R6:R14)</f>
        <v/>
      </c>
      <c r="S15" s="62">
        <f>R15/N15</f>
        <v/>
      </c>
      <c r="T15" s="63">
        <f>N15*0.4-R15</f>
        <v/>
      </c>
      <c r="U15" s="59">
        <f>IF(S15&gt;0.45,"❌ OVER",IF(S15&lt;0.35,"⚠ UNDER","✓ OK"))</f>
        <v/>
      </c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400" t="inlineStr">
        <is>
          <t>SALARY &amp; COMMISSION ASSUMPTIONS  (Blue = hardcoded input — change to model scenarios)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8" customHeight="1" s="363">
      <c r="A18" s="65" t="inlineStr">
        <is>
          <t>Therapist base salary / month (€)</t>
        </is>
      </c>
      <c r="B18" s="66" t="n">
        <v>1500</v>
      </c>
      <c r="C18" s="72" t="inlineStr">
        <is>
          <t>Base salary before employer taxes. FSS (income tax) is employee-side — not included here.</t>
        </is>
      </c>
      <c r="D18" s="398" t="n"/>
      <c r="E18" s="398" t="n"/>
      <c r="F18" s="398" t="n"/>
      <c r="G18" s="398" t="n"/>
      <c r="H18" s="398" t="n"/>
      <c r="I18" s="398" t="n"/>
      <c r="J18" s="398" t="n"/>
      <c r="K18" s="398" t="n"/>
      <c r="L18" s="398" t="n"/>
      <c r="M18" s="399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8" customHeight="1" s="363">
      <c r="A19" s="65" t="inlineStr">
        <is>
          <t>Therapist fully loaded / month (€)  [base + 11.8% employer SSC]</t>
        </is>
      </c>
      <c r="B19" s="66" t="n">
        <v>1677</v>
      </c>
      <c r="C19" s="72" t="inlineStr">
        <is>
          <t>Therapist base × 1.118. This is the employer's fully-loaded monthly cost per therapist.</t>
        </is>
      </c>
      <c r="D19" s="398" t="n"/>
      <c r="E19" s="398" t="n"/>
      <c r="F19" s="398" t="n"/>
      <c r="G19" s="398" t="n"/>
      <c r="H19" s="398" t="n"/>
      <c r="I19" s="398" t="n"/>
      <c r="J19" s="398" t="n"/>
      <c r="K19" s="398" t="n"/>
      <c r="L19" s="398" t="n"/>
      <c r="M19" s="399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8" customHeight="1" s="363">
      <c r="A20" s="65" t="inlineStr">
        <is>
          <t>Receptionist base salary / month (€)</t>
        </is>
      </c>
      <c r="B20" s="66" t="n">
        <v>1400</v>
      </c>
      <c r="C20" s="72" t="inlineStr">
        <is>
          <t>Base salary before employer taxes.</t>
        </is>
      </c>
      <c r="D20" s="398" t="n"/>
      <c r="E20" s="398" t="n"/>
      <c r="F20" s="398" t="n"/>
      <c r="G20" s="398" t="n"/>
      <c r="H20" s="398" t="n"/>
      <c r="I20" s="398" t="n"/>
      <c r="J20" s="398" t="n"/>
      <c r="K20" s="398" t="n"/>
      <c r="L20" s="398" t="n"/>
      <c r="M20" s="399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8" customHeight="1" s="363">
      <c r="A21" s="65" t="inlineStr">
        <is>
          <t>Receptionist fully loaded / month (€)  [base + 11.8% employer SSC]</t>
        </is>
      </c>
      <c r="B21" s="66" t="n">
        <v>1565</v>
      </c>
      <c r="C21" s="72" t="inlineStr">
        <is>
          <t>Receptionist base × 1.118. Employer's fully-loaded monthly cost per receptionist.</t>
        </is>
      </c>
      <c r="D21" s="398" t="n"/>
      <c r="E21" s="398" t="n"/>
      <c r="F21" s="398" t="n"/>
      <c r="G21" s="398" t="n"/>
      <c r="H21" s="398" t="n"/>
      <c r="I21" s="398" t="n"/>
      <c r="J21" s="398" t="n"/>
      <c r="K21" s="398" t="n"/>
      <c r="L21" s="398" t="n"/>
      <c r="M21" s="399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8" customHeight="1" s="363">
      <c r="A22" s="65" t="inlineStr">
        <is>
          <t>Regional Manager base / month (€)  [target fixed cost budget]</t>
        </is>
      </c>
      <c r="B22" s="66" t="n">
        <v>2500</v>
      </c>
      <c r="C22" s="72" t="inlineStr">
        <is>
          <t>Base salary €2,500/mo. Each RM covers a cluster of 3 spas (⅓ FTE each).</t>
        </is>
      </c>
      <c r="D22" s="398" t="n"/>
      <c r="E22" s="398" t="n"/>
      <c r="F22" s="398" t="n"/>
      <c r="G22" s="398" t="n"/>
      <c r="H22" s="398" t="n"/>
      <c r="I22" s="398" t="n"/>
      <c r="J22" s="398" t="n"/>
      <c r="K22" s="398" t="n"/>
      <c r="L22" s="398" t="n"/>
      <c r="M22" s="399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8" customHeight="1" s="363">
      <c r="A23" s="65" t="inlineStr">
        <is>
          <t>Regional Manager fully loaded / month (€)  [RM base + 11.8% SSC]</t>
        </is>
      </c>
      <c r="B23" s="66" t="n">
        <v>2795</v>
      </c>
      <c r="C23" s="72" t="inlineStr">
        <is>
          <t>RM base × 1.118. Each RM covers 3 spas at ⅓ FTE each. ⅓ FTE = €932/mo fixed at that site.</t>
        </is>
      </c>
      <c r="D23" s="398" t="n"/>
      <c r="E23" s="398" t="n"/>
      <c r="F23" s="398" t="n"/>
      <c r="G23" s="398" t="n"/>
      <c r="H23" s="398" t="n"/>
      <c r="I23" s="398" t="n"/>
      <c r="J23" s="398" t="n"/>
      <c r="K23" s="398" t="n"/>
      <c r="L23" s="398" t="n"/>
      <c r="M23" s="399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8" customHeight="1" s="363">
      <c r="A24" s="65" t="inlineStr">
        <is>
          <t>Employer SSC rate  (Malta Class 1 social security)</t>
        </is>
      </c>
      <c r="B24" s="66" t="inlineStr">
        <is>
          <t>11.8%</t>
        </is>
      </c>
      <c r="C24" s="72" t="inlineStr">
        <is>
          <t>Employer pays 11.8% of gross salary as Class 1 SSC. FSS (income tax) is withheld from employee pay.</t>
        </is>
      </c>
      <c r="D24" s="398" t="n"/>
      <c r="E24" s="398" t="n"/>
      <c r="F24" s="398" t="n"/>
      <c r="G24" s="398" t="n"/>
      <c r="H24" s="398" t="n"/>
      <c r="I24" s="398" t="n"/>
      <c r="J24" s="398" t="n"/>
      <c r="K24" s="398" t="n"/>
      <c r="L24" s="398" t="n"/>
      <c r="M24" s="399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8" customHeight="1" s="363">
      <c r="A25" s="65" t="inlineStr">
        <is>
          <t>Treatment commission rate  (blend %)</t>
        </is>
      </c>
      <c r="B25" s="66" t="inlineStr">
        <is>
          <t>4.5%</t>
        </is>
      </c>
      <c r="C25" s="72" t="inlineStr">
        <is>
          <t>Blend: 4.5% standard / 6% high-performer. Applied to treatment revenue (ex-retail) only.</t>
        </is>
      </c>
      <c r="D25" s="398" t="n"/>
      <c r="E25" s="398" t="n"/>
      <c r="F25" s="398" t="n"/>
      <c r="G25" s="398" t="n"/>
      <c r="H25" s="398" t="n"/>
      <c r="I25" s="398" t="n"/>
      <c r="J25" s="398" t="n"/>
      <c r="K25" s="398" t="n"/>
      <c r="L25" s="398" t="n"/>
      <c r="M25" s="399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8" customHeight="1" s="363">
      <c r="A26" s="65" t="inlineStr">
        <is>
          <t>Retail revenue as % of total spa revenue</t>
        </is>
      </c>
      <c r="B26" s="66" t="inlineStr">
        <is>
          <t>5.5%</t>
        </is>
      </c>
      <c r="C26" s="72" t="inlineStr">
        <is>
          <t>Industry benchmark: 5–6% of total spa revenue. Midpoint 5.5% used for modelling.</t>
        </is>
      </c>
      <c r="D26" s="398" t="n"/>
      <c r="E26" s="398" t="n"/>
      <c r="F26" s="398" t="n"/>
      <c r="G26" s="398" t="n"/>
      <c r="H26" s="398" t="n"/>
      <c r="I26" s="398" t="n"/>
      <c r="J26" s="398" t="n"/>
      <c r="K26" s="398" t="n"/>
      <c r="L26" s="398" t="n"/>
      <c r="M26" s="399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8" customHeight="1" s="363">
      <c r="A27" s="65" t="inlineStr">
        <is>
          <t>Retail commission rate  (% of retail sales)</t>
        </is>
      </c>
      <c r="B27" s="66" t="inlineStr">
        <is>
          <t>15%</t>
        </is>
      </c>
      <c r="C27" s="72" t="inlineStr">
        <is>
          <t>Therapists earn 15% commission on all retail products sold at their location.</t>
        </is>
      </c>
      <c r="D27" s="398" t="n"/>
      <c r="E27" s="398" t="n"/>
      <c r="F27" s="398" t="n"/>
      <c r="G27" s="398" t="n"/>
      <c r="H27" s="398" t="n"/>
      <c r="I27" s="398" t="n"/>
      <c r="J27" s="398" t="n"/>
      <c r="K27" s="398" t="n"/>
      <c r="L27" s="398" t="n"/>
      <c r="M27" s="399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8" customHeight="1" s="363">
      <c r="A28" s="65" t="inlineStr">
        <is>
          <t>Regional Manager revenue commission  (% of cluster total revenue)</t>
        </is>
      </c>
      <c r="B28" s="66" t="inlineStr">
        <is>
          <t>0.5%</t>
        </is>
      </c>
      <c r="C28" s="72" t="inlineStr">
        <is>
          <t>RM earns 0.5% of total cluster revenue (sum of all 3 spas they cover). Charged ⅓ to each location.</t>
        </is>
      </c>
      <c r="D28" s="398" t="n"/>
      <c r="E28" s="398" t="n"/>
      <c r="F28" s="398" t="n"/>
      <c r="G28" s="398" t="n"/>
      <c r="H28" s="398" t="n"/>
      <c r="I28" s="398" t="n"/>
      <c r="J28" s="398" t="n"/>
      <c r="K28" s="398" t="n"/>
      <c r="L28" s="398" t="n"/>
      <c r="M28" s="399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8" customHeight="1" s="363">
      <c r="A29" s="65" t="inlineStr">
        <is>
          <t>Floating mobility allowance (€/month)</t>
        </is>
      </c>
      <c r="B29" s="66" t="n">
        <v>75</v>
      </c>
      <c r="C29" s="72" t="inlineStr">
        <is>
          <t>Cluster floater incentive to cover multi-site mobility.</t>
        </is>
      </c>
      <c r="D29" s="398" t="n"/>
      <c r="E29" s="398" t="n"/>
      <c r="F29" s="398" t="n"/>
      <c r="G29" s="398" t="n"/>
      <c r="H29" s="398" t="n"/>
      <c r="I29" s="398" t="n"/>
      <c r="J29" s="398" t="n"/>
      <c r="K29" s="398" t="n"/>
      <c r="L29" s="398" t="n"/>
      <c r="M29" s="399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8" customHeight="1" s="363">
      <c r="A30" s="65" t="inlineStr">
        <is>
          <t>Avg treatment revenue (€)</t>
        </is>
      </c>
      <c r="B30" s="66" t="n">
        <v>85</v>
      </c>
      <c r="C30" s="72" t="inlineStr">
        <is>
          <t>Mid-point €70–€100 range per treatment.</t>
        </is>
      </c>
      <c r="D30" s="398" t="n"/>
      <c r="E30" s="398" t="n"/>
      <c r="F30" s="398" t="n"/>
      <c r="G30" s="398" t="n"/>
      <c r="H30" s="398" t="n"/>
      <c r="I30" s="398" t="n"/>
      <c r="J30" s="398" t="n"/>
      <c r="K30" s="398" t="n"/>
      <c r="L30" s="398" t="n"/>
      <c r="M30" s="399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8" customHeight="1" s="363">
      <c r="A31" s="65" t="inlineStr">
        <is>
          <t>Avg treatment duration (mins)</t>
        </is>
      </c>
      <c r="B31" s="66" t="n">
        <v>75</v>
      </c>
      <c r="C31" s="72" t="inlineStr">
        <is>
          <t>Mid-point 60–90 min range.</t>
        </is>
      </c>
      <c r="D31" s="398" t="n"/>
      <c r="E31" s="398" t="n"/>
      <c r="F31" s="398" t="n"/>
      <c r="G31" s="398" t="n"/>
      <c r="H31" s="398" t="n"/>
      <c r="I31" s="398" t="n"/>
      <c r="J31" s="398" t="n"/>
      <c r="K31" s="398" t="n"/>
      <c r="L31" s="398" t="n"/>
      <c r="M31" s="399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363">
      <c r="A32" s="65" t="inlineStr">
        <is>
          <t>Operating days / week</t>
        </is>
      </c>
      <c r="B32" s="66" t="n">
        <v>7</v>
      </c>
      <c r="C32" s="72" t="inlineStr">
        <is>
          <t>Mon–Sun, 7 days.</t>
        </is>
      </c>
      <c r="D32" s="398" t="n"/>
      <c r="E32" s="398" t="n"/>
      <c r="F32" s="398" t="n"/>
      <c r="G32" s="398" t="n"/>
      <c r="H32" s="398" t="n"/>
      <c r="I32" s="398" t="n"/>
      <c r="J32" s="398" t="n"/>
      <c r="K32" s="398" t="n"/>
      <c r="L32" s="398" t="n"/>
      <c r="M32" s="399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363">
      <c r="A33" s="65" t="inlineStr">
        <is>
          <t>Operating hours / day</t>
        </is>
      </c>
      <c r="B33" s="66" t="n">
        <v>11</v>
      </c>
      <c r="C33" s="72" t="inlineStr">
        <is>
          <t>09:00–20:00 operating window.</t>
        </is>
      </c>
      <c r="D33" s="398" t="n"/>
      <c r="E33" s="398" t="n"/>
      <c r="F33" s="398" t="n"/>
      <c r="G33" s="398" t="n"/>
      <c r="H33" s="398" t="n"/>
      <c r="I33" s="398" t="n"/>
      <c r="J33" s="398" t="n"/>
      <c r="K33" s="398" t="n"/>
      <c r="L33" s="398" t="n"/>
      <c r="M33" s="399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65" t="inlineStr">
        <is>
          <t>Peak utilisation target (%)</t>
        </is>
      </c>
      <c r="B34" s="66" t="inlineStr">
        <is>
          <t>80%</t>
        </is>
      </c>
      <c r="C34" s="72" t="inlineStr">
        <is>
          <t>Industry benchmark — mature spa at steady state.</t>
        </is>
      </c>
      <c r="D34" s="398" t="n"/>
      <c r="E34" s="398" t="n"/>
      <c r="F34" s="398" t="n"/>
      <c r="G34" s="398" t="n"/>
      <c r="H34" s="398" t="n"/>
      <c r="I34" s="398" t="n"/>
      <c r="J34" s="398" t="n"/>
      <c r="K34" s="398" t="n"/>
      <c r="L34" s="398" t="n"/>
      <c r="M34" s="399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363">
      <c r="A36" s="401" t="inlineStr">
        <is>
          <t>FULLY LOADED MONTHLY EMPLOYER COST BREAKDOWN PER ROLE</t>
        </is>
      </c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9.5" customHeight="1" s="363">
      <c r="A37" s="69" t="inlineStr">
        <is>
          <t>Role</t>
        </is>
      </c>
      <c r="B37" s="69" t="inlineStr">
        <is>
          <t>Base Salary (€)</t>
        </is>
      </c>
      <c r="C37" s="69" t="inlineStr">
        <is>
          <t>Employer SSC 11.8% (€)</t>
        </is>
      </c>
      <c r="D37" s="69" t="inlineStr">
        <is>
          <t>Fully Loaded Fixed (€)</t>
        </is>
      </c>
      <c r="E37" s="69" t="inlineStr">
        <is>
          <t>Treatment Comm</t>
        </is>
      </c>
      <c r="F37" s="69" t="inlineStr">
        <is>
          <t>Retail Comm</t>
        </is>
      </c>
      <c r="G37" s="69" t="inlineStr">
        <is>
          <t>RM Rev Comm</t>
        </is>
      </c>
      <c r="H37" s="69" t="inlineStr">
        <is>
          <t>Notes</t>
        </is>
      </c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65" t="inlineStr">
        <is>
          <t>Therapist (1 FTE)</t>
        </is>
      </c>
      <c r="B38" s="71" t="n">
        <v>1500</v>
      </c>
      <c r="C38" s="71" t="n">
        <v>177</v>
      </c>
      <c r="D38" s="71" t="n">
        <v>1677</v>
      </c>
      <c r="E38" s="72" t="inlineStr">
        <is>
          <t>4.5% × treatment rev</t>
        </is>
      </c>
      <c r="F38" s="72" t="inlineStr">
        <is>
          <t>15% × (5.5% of rev)</t>
        </is>
      </c>
      <c r="G38" s="72" t="inlineStr">
        <is>
          <t>N/A</t>
        </is>
      </c>
      <c r="H38" s="72" t="inlineStr">
        <is>
          <t>At €30,000/mo rev: treatment ~€1,276 + retail ~€248</t>
        </is>
      </c>
      <c r="I38" s="398" t="n"/>
      <c r="J38" s="398" t="n"/>
      <c r="K38" s="398" t="n"/>
      <c r="L38" s="398" t="n"/>
      <c r="M38" s="399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65" t="inlineStr">
        <is>
          <t>Receptionist (1 FTE)</t>
        </is>
      </c>
      <c r="B39" s="71" t="n">
        <v>1400</v>
      </c>
      <c r="C39" s="71" t="n">
        <v>165</v>
      </c>
      <c r="D39" s="71" t="n">
        <v>1565</v>
      </c>
      <c r="E39" s="72" t="inlineStr">
        <is>
          <t>No commission</t>
        </is>
      </c>
      <c r="F39" s="72" t="inlineStr">
        <is>
          <t>No commission</t>
        </is>
      </c>
      <c r="G39" s="72" t="inlineStr">
        <is>
          <t>N/A</t>
        </is>
      </c>
      <c r="H39" s="72" t="inlineStr">
        <is>
          <t>Fixed cost only — no revenue-linked variable pay.</t>
        </is>
      </c>
      <c r="I39" s="398" t="n"/>
      <c r="J39" s="398" t="n"/>
      <c r="K39" s="398" t="n"/>
      <c r="L39" s="398" t="n"/>
      <c r="M39" s="399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65" t="inlineStr">
        <is>
          <t>Regional Manager (1 FTE)</t>
        </is>
      </c>
      <c r="B40" s="71" t="n">
        <v>3000</v>
      </c>
      <c r="C40" s="71" t="n">
        <v>354</v>
      </c>
      <c r="D40" s="71" t="n">
        <v>3354</v>
      </c>
      <c r="E40" s="72" t="inlineStr">
        <is>
          <t>None</t>
        </is>
      </c>
      <c r="F40" s="72" t="inlineStr">
        <is>
          <t>None</t>
        </is>
      </c>
      <c r="G40" s="72" t="inlineStr">
        <is>
          <t>0.5% × cluster total rev</t>
        </is>
      </c>
      <c r="H40" s="72" t="inlineStr">
        <is>
          <t>At €30,000/mo rev: RM comm = €150. Allocated by FTE fraction.</t>
        </is>
      </c>
      <c r="I40" s="398" t="n"/>
      <c r="J40" s="398" t="n"/>
      <c r="K40" s="398" t="n"/>
      <c r="L40" s="398" t="n"/>
      <c r="M40" s="399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65" t="inlineStr">
        <is>
          <t>RM @ 0.5 FTE (shared)</t>
        </is>
      </c>
      <c r="B41" s="71" t="n">
        <v>1677</v>
      </c>
      <c r="C41" s="71" t="n">
        <v>177</v>
      </c>
      <c r="D41" s="71" t="n">
        <v>1677</v>
      </c>
      <c r="E41" s="72" t="inlineStr">
        <is>
          <t>None</t>
        </is>
      </c>
      <c r="F41" s="72" t="inlineStr">
        <is>
          <t>None</t>
        </is>
      </c>
      <c r="G41" s="72" t="inlineStr">
        <is>
          <t>0.5% × location rev</t>
        </is>
      </c>
      <c r="H41" s="72" t="inlineStr">
        <is>
          <t>0.5 FTE = €1,677 fixed + 0.5% rev commission charged to location.</t>
        </is>
      </c>
      <c r="I41" s="398" t="n"/>
      <c r="J41" s="398" t="n"/>
      <c r="K41" s="398" t="n"/>
      <c r="L41" s="398" t="n"/>
      <c r="M41" s="399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65" t="inlineStr">
        <is>
          <t>RM @ ⅓ FTE (3-spa cluster)</t>
        </is>
      </c>
      <c r="B42" s="71" t="n">
        <v>1118</v>
      </c>
      <c r="C42" s="71" t="n">
        <v>118</v>
      </c>
      <c r="D42" s="71" t="n">
        <v>1118</v>
      </c>
      <c r="E42" s="72" t="inlineStr">
        <is>
          <t>None</t>
        </is>
      </c>
      <c r="F42" s="72" t="inlineStr">
        <is>
          <t>None</t>
        </is>
      </c>
      <c r="G42" s="72" t="inlineStr">
        <is>
          <t>0.5% × location rev</t>
        </is>
      </c>
      <c r="H42" s="72" t="inlineStr">
        <is>
          <t>⅓ FTE = €1,118 fixed + 0.5% rev commission charged to location.</t>
        </is>
      </c>
      <c r="I42" s="398" t="n"/>
      <c r="J42" s="398" t="n"/>
      <c r="K42" s="398" t="n"/>
      <c r="L42" s="398" t="n"/>
      <c r="M42" s="399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36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363">
      <c r="A44" s="402" t="inlineStr">
        <is>
          <t>COLOUR LEGEND</t>
        </is>
      </c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363">
      <c r="A45" s="74" t="inlineStr">
        <is>
          <t>Blue text</t>
        </is>
      </c>
      <c r="B45" s="75" t="inlineStr">
        <is>
          <t>Hardcoded input — change to model scenarios</t>
        </is>
      </c>
      <c r="G45" s="7" t="n"/>
      <c r="H45" s="76" t="inlineStr">
        <is>
          <t>Tier 1 (&gt;€40k)</t>
        </is>
      </c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363">
      <c r="A46" s="77" t="inlineStr">
        <is>
          <t>Black text</t>
        </is>
      </c>
      <c r="B46" s="75" t="inlineStr">
        <is>
          <t>Formula / calculated value</t>
        </is>
      </c>
      <c r="G46" s="7" t="n"/>
      <c r="H46" s="78" t="inlineStr">
        <is>
          <t>Tier 2 (€25k–€40k)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363">
      <c r="A47" s="79" t="inlineStr">
        <is>
          <t>Red text</t>
        </is>
      </c>
      <c r="B47" s="75" t="inlineStr">
        <is>
          <t>Over-budget or deficit</t>
        </is>
      </c>
      <c r="G47" s="7" t="n"/>
      <c r="H47" s="80" t="inlineStr">
        <is>
          <t>Tier 3 (€15k–€25k)</t>
        </is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363">
      <c r="A48" s="81" t="inlineStr">
        <is>
          <t>Green text</t>
        </is>
      </c>
      <c r="B48" s="75" t="inlineStr">
        <is>
          <t>Positive variance</t>
        </is>
      </c>
      <c r="G48" s="7" t="n"/>
      <c r="H48" s="82" t="inlineStr">
        <is>
          <t>Tier 4 (&lt;€15k)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363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363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363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36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36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36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36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36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36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36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</row>
  </sheetData>
  <mergeCells count="35">
    <mergeCell ref="C34:M34"/>
    <mergeCell ref="N4:U4"/>
    <mergeCell ref="B47:F47"/>
    <mergeCell ref="C30:M30"/>
    <mergeCell ref="A17:M17"/>
    <mergeCell ref="C33:M33"/>
    <mergeCell ref="C24:M24"/>
    <mergeCell ref="B46:F46"/>
    <mergeCell ref="C28:M28"/>
    <mergeCell ref="A44:M44"/>
    <mergeCell ref="C20:M20"/>
    <mergeCell ref="C26:M26"/>
    <mergeCell ref="B48:F48"/>
    <mergeCell ref="C29:M29"/>
    <mergeCell ref="C25:M25"/>
    <mergeCell ref="H37:M37"/>
    <mergeCell ref="C22:M22"/>
    <mergeCell ref="C31:M31"/>
    <mergeCell ref="H4:K4"/>
    <mergeCell ref="A36:M36"/>
    <mergeCell ref="A1:M1"/>
    <mergeCell ref="H42:M42"/>
    <mergeCell ref="C21:M21"/>
    <mergeCell ref="C27:M27"/>
    <mergeCell ref="H38:M38"/>
    <mergeCell ref="C23:M23"/>
    <mergeCell ref="H41:M41"/>
    <mergeCell ref="C32:M32"/>
    <mergeCell ref="H40:M40"/>
    <mergeCell ref="C19:M19"/>
    <mergeCell ref="B45:F45"/>
    <mergeCell ref="H39:M39"/>
    <mergeCell ref="A2:M2"/>
    <mergeCell ref="C18:M18"/>
    <mergeCell ref="D4:G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363" min="1" max="1"/>
    <col width="9" customWidth="1" style="363" min="2" max="13"/>
    <col width="14" customWidth="1" style="363" min="14" max="14"/>
    <col width="30" customWidth="1" style="363" min="15" max="15"/>
  </cols>
  <sheetData>
    <row r="1" ht="30" customHeight="1" s="363">
      <c r="A1" s="403" t="inlineStr">
        <is>
          <t>CARISMA SPA — DYNAMIC STAFFING PLAN  |  Demand-Adjusted Seasonal Model</t>
        </is>
      </c>
      <c r="B1" s="398" t="n"/>
      <c r="C1" s="398" t="n"/>
      <c r="D1" s="398" t="n"/>
      <c r="E1" s="398" t="n"/>
      <c r="F1" s="398" t="n"/>
      <c r="G1" s="398" t="n"/>
      <c r="H1" s="398" t="n"/>
      <c r="I1" s="398" t="n"/>
      <c r="J1" s="398" t="n"/>
      <c r="K1" s="398" t="n"/>
      <c r="L1" s="398" t="n"/>
      <c r="M1" s="398" t="n"/>
      <c r="N1" s="398" t="n"/>
      <c r="O1" s="399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8" customHeight="1" s="363">
      <c r="A2" s="404" t="inlineStr">
        <is>
          <t>Portfolio annual saving vs fixed model: €100,620  |  Core = Permanent contract year-round  |  Seasonal = Fixed-term Apr–Oct  |  Optimal T = demand × 1.20 buffer, floored at site minimum</t>
        </is>
      </c>
      <c r="B2" s="398" t="n"/>
      <c r="C2" s="398" t="n"/>
      <c r="D2" s="398" t="n"/>
      <c r="E2" s="398" t="n"/>
      <c r="F2" s="398" t="n"/>
      <c r="G2" s="398" t="n"/>
      <c r="H2" s="398" t="n"/>
      <c r="I2" s="398" t="n"/>
      <c r="J2" s="398" t="n"/>
      <c r="K2" s="398" t="n"/>
      <c r="L2" s="398" t="n"/>
      <c r="M2" s="398" t="n"/>
      <c r="N2" s="398" t="n"/>
      <c r="O2" s="399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8" customHeight="1" s="363">
      <c r="A4" s="90" t="inlineStr">
        <is>
          <t>LEGEND</t>
        </is>
      </c>
      <c r="B4" s="398" t="n"/>
      <c r="C4" s="399" t="n"/>
      <c r="D4" s="92" t="inlineStr">
        <is>
          <t>Core only</t>
        </is>
      </c>
      <c r="E4" s="398" t="n"/>
      <c r="F4" s="399" t="n"/>
      <c r="G4" s="93" t="inlineStr">
        <is>
          <t>Seasonal active</t>
        </is>
      </c>
      <c r="H4" s="398" t="n"/>
      <c r="I4" s="399" t="n"/>
      <c r="J4" s="99" t="inlineStr">
        <is>
          <t>Understaffed ⚠</t>
        </is>
      </c>
      <c r="K4" s="398" t="n"/>
      <c r="L4" s="399" t="n"/>
      <c r="M4" s="89" t="n"/>
      <c r="N4" s="89" t="n"/>
      <c r="O4" s="89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7.5" customHeight="1" s="363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5.5" customHeight="1" s="363">
      <c r="A6" s="9" t="inlineStr">
        <is>
          <t>Location</t>
        </is>
      </c>
      <c r="B6" s="90" t="inlineStr">
        <is>
          <t>Jan</t>
        </is>
      </c>
      <c r="C6" s="90" t="inlineStr">
        <is>
          <t>Feb</t>
        </is>
      </c>
      <c r="D6" s="90" t="inlineStr">
        <is>
          <t>Mar</t>
        </is>
      </c>
      <c r="E6" s="90" t="inlineStr">
        <is>
          <t>Apr</t>
        </is>
      </c>
      <c r="F6" s="90" t="inlineStr">
        <is>
          <t>May</t>
        </is>
      </c>
      <c r="G6" s="90" t="inlineStr">
        <is>
          <t>Jun</t>
        </is>
      </c>
      <c r="H6" s="90" t="inlineStr">
        <is>
          <t>Jul</t>
        </is>
      </c>
      <c r="I6" s="90" t="inlineStr">
        <is>
          <t>Aug</t>
        </is>
      </c>
      <c r="J6" s="90" t="inlineStr">
        <is>
          <t>Sep</t>
        </is>
      </c>
      <c r="K6" s="90" t="inlineStr">
        <is>
          <t>Oct</t>
        </is>
      </c>
      <c r="L6" s="90" t="inlineStr">
        <is>
          <t>Nov</t>
        </is>
      </c>
      <c r="M6" s="90" t="inlineStr">
        <is>
          <t>Dec</t>
        </is>
      </c>
      <c r="N6" s="90" t="inlineStr">
        <is>
          <t>Annual Saving</t>
        </is>
      </c>
      <c r="O6" s="90" t="inlineStr">
        <is>
          <t>Action Required</t>
        </is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1.75" customHeight="1" s="363">
      <c r="A7" s="91" t="inlineStr">
        <is>
          <t>Intercontinental</t>
        </is>
      </c>
      <c r="B7" s="92" t="inlineStr">
        <is>
          <t>5T</t>
        </is>
      </c>
      <c r="C7" s="92" t="inlineStr">
        <is>
          <t>5T</t>
        </is>
      </c>
      <c r="D7" s="92" t="inlineStr">
        <is>
          <t>5T</t>
        </is>
      </c>
      <c r="E7" s="93" t="inlineStr">
        <is>
          <t>5+1S</t>
        </is>
      </c>
      <c r="F7" s="93" t="inlineStr">
        <is>
          <t>5+1S</t>
        </is>
      </c>
      <c r="G7" s="93" t="inlineStr">
        <is>
          <t>5+2S</t>
        </is>
      </c>
      <c r="H7" s="93" t="inlineStr">
        <is>
          <t>5+3S</t>
        </is>
      </c>
      <c r="I7" s="93" t="inlineStr">
        <is>
          <t>5+3S</t>
        </is>
      </c>
      <c r="J7" s="93" t="inlineStr">
        <is>
          <t>5+2S</t>
        </is>
      </c>
      <c r="K7" s="93" t="inlineStr">
        <is>
          <t>5+1S</t>
        </is>
      </c>
      <c r="L7" s="92" t="inlineStr">
        <is>
          <t>5T</t>
        </is>
      </c>
      <c r="M7" s="92" t="inlineStr">
        <is>
          <t>5T</t>
        </is>
      </c>
      <c r="N7" s="94" t="n">
        <v>51987</v>
      </c>
      <c r="O7" s="89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1.75" customHeight="1" s="363">
      <c r="A8" s="91" t="inlineStr">
        <is>
          <t>Hugos</t>
        </is>
      </c>
      <c r="B8" s="92" t="inlineStr">
        <is>
          <t>4T</t>
        </is>
      </c>
      <c r="C8" s="92" t="inlineStr">
        <is>
          <t>4T</t>
        </is>
      </c>
      <c r="D8" s="92" t="inlineStr">
        <is>
          <t>4T</t>
        </is>
      </c>
      <c r="E8" s="93" t="inlineStr">
        <is>
          <t>4+2S</t>
        </is>
      </c>
      <c r="F8" s="93" t="inlineStr">
        <is>
          <t>4+2S</t>
        </is>
      </c>
      <c r="G8" s="93" t="inlineStr">
        <is>
          <t>4+3S</t>
        </is>
      </c>
      <c r="H8" s="93" t="inlineStr">
        <is>
          <t>4+3S</t>
        </is>
      </c>
      <c r="I8" s="93" t="inlineStr">
        <is>
          <t>4+4S</t>
        </is>
      </c>
      <c r="J8" s="93" t="inlineStr">
        <is>
          <t>4+3S</t>
        </is>
      </c>
      <c r="K8" s="93" t="inlineStr">
        <is>
          <t>4+2S</t>
        </is>
      </c>
      <c r="L8" s="92" t="inlineStr">
        <is>
          <t>4T</t>
        </is>
      </c>
      <c r="M8" s="92" t="inlineStr">
        <is>
          <t>4T</t>
        </is>
      </c>
      <c r="N8" s="94" t="n">
        <v>55341</v>
      </c>
      <c r="O8" s="89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1.75" customHeight="1" s="363">
      <c r="A9" s="91" t="inlineStr">
        <is>
          <t>Ramla</t>
        </is>
      </c>
      <c r="B9" s="92" t="inlineStr">
        <is>
          <t>3T</t>
        </is>
      </c>
      <c r="C9" s="92" t="inlineStr">
        <is>
          <t>3T</t>
        </is>
      </c>
      <c r="D9" s="92" t="inlineStr">
        <is>
          <t>3T</t>
        </is>
      </c>
      <c r="E9" s="93" t="inlineStr">
        <is>
          <t>3+1S</t>
        </is>
      </c>
      <c r="F9" s="93" t="inlineStr">
        <is>
          <t>3+1S</t>
        </is>
      </c>
      <c r="G9" s="93" t="inlineStr">
        <is>
          <t>3+1S</t>
        </is>
      </c>
      <c r="H9" s="93" t="inlineStr">
        <is>
          <t>3+2S</t>
        </is>
      </c>
      <c r="I9" s="93" t="inlineStr">
        <is>
          <t>3+2S</t>
        </is>
      </c>
      <c r="J9" s="93" t="inlineStr">
        <is>
          <t>3+1S</t>
        </is>
      </c>
      <c r="K9" s="93" t="inlineStr">
        <is>
          <t>3+1S</t>
        </is>
      </c>
      <c r="L9" s="92" t="inlineStr">
        <is>
          <t>3T</t>
        </is>
      </c>
      <c r="M9" s="92" t="inlineStr">
        <is>
          <t>3T</t>
        </is>
      </c>
      <c r="N9" s="94" t="n">
        <v>18447</v>
      </c>
      <c r="O9" s="89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1.75" customHeight="1" s="363">
      <c r="A10" s="91" t="inlineStr">
        <is>
          <t>Hyatt</t>
        </is>
      </c>
      <c r="B10" s="92" t="inlineStr">
        <is>
          <t>2T</t>
        </is>
      </c>
      <c r="C10" s="92" t="inlineStr">
        <is>
          <t>2T</t>
        </is>
      </c>
      <c r="D10" s="92" t="inlineStr">
        <is>
          <t>2T</t>
        </is>
      </c>
      <c r="E10" s="93" t="inlineStr">
        <is>
          <t>2+1S</t>
        </is>
      </c>
      <c r="F10" s="93" t="inlineStr">
        <is>
          <t>2+2S</t>
        </is>
      </c>
      <c r="G10" s="93" t="inlineStr">
        <is>
          <t>2+2S</t>
        </is>
      </c>
      <c r="H10" s="93" t="inlineStr">
        <is>
          <t>2+2S</t>
        </is>
      </c>
      <c r="I10" s="93" t="inlineStr">
        <is>
          <t>2+2S</t>
        </is>
      </c>
      <c r="J10" s="93" t="inlineStr">
        <is>
          <t>2+2S</t>
        </is>
      </c>
      <c r="K10" s="93" t="inlineStr">
        <is>
          <t>2+2S</t>
        </is>
      </c>
      <c r="L10" s="92" t="inlineStr">
        <is>
          <t>2T</t>
        </is>
      </c>
      <c r="M10" s="92" t="inlineStr">
        <is>
          <t>2T</t>
        </is>
      </c>
      <c r="N10" s="94" t="n">
        <v>10062</v>
      </c>
      <c r="O10" s="89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1.75" customHeight="1" s="363">
      <c r="A11" s="91" t="inlineStr">
        <is>
          <t>Excelsior</t>
        </is>
      </c>
      <c r="B11" s="92" t="inlineStr">
        <is>
          <t>2T</t>
        </is>
      </c>
      <c r="C11" s="92" t="inlineStr">
        <is>
          <t>2T</t>
        </is>
      </c>
      <c r="D11" s="92" t="inlineStr">
        <is>
          <t>2T</t>
        </is>
      </c>
      <c r="E11" s="93" t="inlineStr">
        <is>
          <t>2+1S</t>
        </is>
      </c>
      <c r="F11" s="93" t="inlineStr">
        <is>
          <t>2+1S</t>
        </is>
      </c>
      <c r="G11" s="93" t="inlineStr">
        <is>
          <t>2+2S</t>
        </is>
      </c>
      <c r="H11" s="93" t="inlineStr">
        <is>
          <t>2+2S</t>
        </is>
      </c>
      <c r="I11" s="93" t="inlineStr">
        <is>
          <t>2+2S</t>
        </is>
      </c>
      <c r="J11" s="93" t="inlineStr">
        <is>
          <t>2+2S</t>
        </is>
      </c>
      <c r="K11" s="93" t="inlineStr">
        <is>
          <t>2+1S</t>
        </is>
      </c>
      <c r="L11" s="92" t="inlineStr">
        <is>
          <t>2T</t>
        </is>
      </c>
      <c r="M11" s="92" t="inlineStr">
        <is>
          <t>2T</t>
        </is>
      </c>
      <c r="N11" s="94" t="n">
        <v>13416</v>
      </c>
      <c r="O11" s="89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36" customHeight="1" s="363">
      <c r="A12" s="95" t="inlineStr">
        <is>
          <t>Riviera</t>
        </is>
      </c>
      <c r="B12" s="92" t="inlineStr">
        <is>
          <t>2T</t>
        </is>
      </c>
      <c r="C12" s="92" t="inlineStr">
        <is>
          <t>2T</t>
        </is>
      </c>
      <c r="D12" s="92" t="inlineStr">
        <is>
          <t>2T</t>
        </is>
      </c>
      <c r="E12" s="93" t="inlineStr">
        <is>
          <t>2+1S</t>
        </is>
      </c>
      <c r="F12" s="93" t="inlineStr">
        <is>
          <t>2+1S</t>
        </is>
      </c>
      <c r="G12" s="93" t="inlineStr">
        <is>
          <t>2+1S</t>
        </is>
      </c>
      <c r="H12" s="93" t="inlineStr">
        <is>
          <t>2+1S</t>
        </is>
      </c>
      <c r="I12" s="93" t="inlineStr">
        <is>
          <t>2+1S</t>
        </is>
      </c>
      <c r="J12" s="93" t="inlineStr">
        <is>
          <t>2+1S</t>
        </is>
      </c>
      <c r="K12" s="93" t="inlineStr">
        <is>
          <t>2+1S</t>
        </is>
      </c>
      <c r="L12" s="92" t="inlineStr">
        <is>
          <t>2T</t>
        </is>
      </c>
      <c r="M12" s="92" t="inlineStr">
        <is>
          <t>2T</t>
        </is>
      </c>
      <c r="N12" s="94" t="n">
        <v>21801</v>
      </c>
      <c r="O12" s="96" t="inlineStr">
        <is>
          <t>ACTION: Reduce permanent headcount from 4T → 2T. Hire 1 seasonal therapist for Apr–Oct. Annual saving vs current model: €21,801.</t>
        </is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1.75" customHeight="1" s="363">
      <c r="A13" s="91" t="inlineStr">
        <is>
          <t>Sunny Coast</t>
        </is>
      </c>
      <c r="B13" s="92" t="inlineStr">
        <is>
          <t>2T</t>
        </is>
      </c>
      <c r="C13" s="92" t="inlineStr">
        <is>
          <t>2T</t>
        </is>
      </c>
      <c r="D13" s="92" t="inlineStr">
        <is>
          <t>2T</t>
        </is>
      </c>
      <c r="E13" s="93" t="inlineStr">
        <is>
          <t>2+1S</t>
        </is>
      </c>
      <c r="F13" s="93" t="inlineStr">
        <is>
          <t>2+1S</t>
        </is>
      </c>
      <c r="G13" s="93" t="inlineStr">
        <is>
          <t>2+1S</t>
        </is>
      </c>
      <c r="H13" s="93" t="inlineStr">
        <is>
          <t>2+1S</t>
        </is>
      </c>
      <c r="I13" s="93" t="inlineStr">
        <is>
          <t>2+1S</t>
        </is>
      </c>
      <c r="J13" s="93" t="inlineStr">
        <is>
          <t>2+1S</t>
        </is>
      </c>
      <c r="K13" s="93" t="inlineStr">
        <is>
          <t>2+1S</t>
        </is>
      </c>
      <c r="L13" s="92" t="inlineStr">
        <is>
          <t>2T</t>
        </is>
      </c>
      <c r="M13" s="92" t="inlineStr">
        <is>
          <t>2T</t>
        </is>
      </c>
      <c r="N13" s="94" t="n">
        <v>6708</v>
      </c>
      <c r="O13" s="89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21.75" customHeight="1" s="363">
      <c r="A14" s="91" t="inlineStr">
        <is>
          <t>Novotel</t>
        </is>
      </c>
      <c r="B14" s="92" t="inlineStr">
        <is>
          <t>1T</t>
        </is>
      </c>
      <c r="C14" s="92" t="inlineStr">
        <is>
          <t>1T</t>
        </is>
      </c>
      <c r="D14" s="92" t="inlineStr">
        <is>
          <t>1T</t>
        </is>
      </c>
      <c r="E14" s="93" t="inlineStr">
        <is>
          <t>1+1S</t>
        </is>
      </c>
      <c r="F14" s="93" t="inlineStr">
        <is>
          <t>1+1S</t>
        </is>
      </c>
      <c r="G14" s="93" t="inlineStr">
        <is>
          <t>1+1S</t>
        </is>
      </c>
      <c r="H14" s="93" t="inlineStr">
        <is>
          <t>1+2S</t>
        </is>
      </c>
      <c r="I14" s="93" t="inlineStr">
        <is>
          <t>1+2S</t>
        </is>
      </c>
      <c r="J14" s="93" t="inlineStr">
        <is>
          <t>1+1S</t>
        </is>
      </c>
      <c r="K14" s="93" t="inlineStr">
        <is>
          <t>1+1S</t>
        </is>
      </c>
      <c r="L14" s="92" t="inlineStr">
        <is>
          <t>1T</t>
        </is>
      </c>
      <c r="M14" s="92" t="inlineStr">
        <is>
          <t>1T</t>
        </is>
      </c>
      <c r="N14" s="97" t="n">
        <v>-3354</v>
      </c>
      <c r="O14" s="89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36" customHeight="1" s="363">
      <c r="A15" s="98" t="inlineStr">
        <is>
          <t>Sliema (NEW)</t>
        </is>
      </c>
      <c r="B15" s="99" t="inlineStr">
        <is>
          <t>⚠ 5T</t>
        </is>
      </c>
      <c r="C15" s="99" t="inlineStr">
        <is>
          <t>⚠ 5T</t>
        </is>
      </c>
      <c r="D15" s="99" t="inlineStr">
        <is>
          <t>⚠ 5T</t>
        </is>
      </c>
      <c r="E15" s="99" t="inlineStr">
        <is>
          <t>⚠ 5T</t>
        </is>
      </c>
      <c r="F15" s="99" t="inlineStr">
        <is>
          <t>⚠ 6T</t>
        </is>
      </c>
      <c r="G15" s="99" t="inlineStr">
        <is>
          <t>⚠ 6T</t>
        </is>
      </c>
      <c r="H15" s="99" t="inlineStr">
        <is>
          <t>⚠ 7T</t>
        </is>
      </c>
      <c r="I15" s="99" t="inlineStr">
        <is>
          <t>⚠ 7T</t>
        </is>
      </c>
      <c r="J15" s="99" t="inlineStr">
        <is>
          <t>⚠ 6T</t>
        </is>
      </c>
      <c r="K15" s="99" t="inlineStr">
        <is>
          <t>⚠ 6T</t>
        </is>
      </c>
      <c r="L15" s="99" t="inlineStr">
        <is>
          <t>⚠ 5T</t>
        </is>
      </c>
      <c r="M15" s="99" t="inlineStr">
        <is>
          <t>⚠ 5T</t>
        </is>
      </c>
      <c r="N15" s="97" t="n">
        <v>-73788</v>
      </c>
      <c r="O15" s="100" t="inlineStr">
        <is>
          <t>URGENT — Hire 3 permanent therapists immediately. Current 2T cannot service projected €500k/yr revenue. Estimated lost revenue from capacity shortfall: €50,000–€70,000/yr.</t>
        </is>
      </c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21.75" customHeight="1" s="363">
      <c r="A16" s="405" t="inlineStr">
        <is>
          <t>PORTFOLIO TOTAL ANNUAL SAVING</t>
        </is>
      </c>
      <c r="B16" s="398" t="n"/>
      <c r="C16" s="398" t="n"/>
      <c r="D16" s="398" t="n"/>
      <c r="E16" s="398" t="n"/>
      <c r="F16" s="398" t="n"/>
      <c r="G16" s="398" t="n"/>
      <c r="H16" s="398" t="n"/>
      <c r="I16" s="398" t="n"/>
      <c r="J16" s="398" t="n"/>
      <c r="K16" s="398" t="n"/>
      <c r="L16" s="398" t="n"/>
      <c r="M16" s="399" t="n"/>
      <c r="N16" s="94" t="n">
        <v>100620</v>
      </c>
      <c r="O16" s="89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.5" customHeight="1" s="36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9.5" customHeight="1" s="363">
      <c r="A18" s="406" t="inlineStr">
        <is>
          <t>SEASONAL CONTRACT CALENDAR  —  Fixed-term contracts typically run Apr 1 → Oct 31.  Recruitment to begin by Feb 15 each year.  Review and renew by Oct 1.</t>
        </is>
      </c>
      <c r="B18" s="398" t="n"/>
      <c r="C18" s="398" t="n"/>
      <c r="D18" s="398" t="n"/>
      <c r="E18" s="398" t="n"/>
      <c r="F18" s="398" t="n"/>
      <c r="G18" s="398" t="n"/>
      <c r="H18" s="398" t="n"/>
      <c r="I18" s="398" t="n"/>
      <c r="J18" s="398" t="n"/>
      <c r="K18" s="398" t="n"/>
      <c r="L18" s="398" t="n"/>
      <c r="M18" s="398" t="n"/>
      <c r="N18" s="398" t="n"/>
      <c r="O18" s="399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103" t="inlineStr">
        <is>
          <t>Location</t>
        </is>
      </c>
      <c r="B20" s="103" t="inlineStr">
        <is>
          <t>Core T (perm)</t>
        </is>
      </c>
      <c r="C20" s="103" t="inlineStr">
        <is>
          <t>Seasonal T needed</t>
        </is>
      </c>
      <c r="D20" s="103" t="inlineStr">
        <is>
          <t>Active months</t>
        </is>
      </c>
      <c r="E20" s="103" t="inlineStr">
        <is>
          <t>Recruit by</t>
        </is>
      </c>
      <c r="F20" s="103" t="inlineStr">
        <is>
          <t>Release date</t>
        </is>
      </c>
      <c r="G20" s="103" t="inlineStr">
        <is>
          <t>Note</t>
        </is>
      </c>
      <c r="H20" s="89" t="n"/>
      <c r="I20" s="398" t="n"/>
      <c r="J20" s="398" t="n"/>
      <c r="K20" s="398" t="n"/>
      <c r="L20" s="398" t="n"/>
      <c r="M20" s="398" t="n"/>
      <c r="N20" s="398" t="n"/>
      <c r="O20" s="399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8" customHeight="1" s="363">
      <c r="A21" s="105" t="inlineStr">
        <is>
          <t>Intercontinental</t>
        </is>
      </c>
      <c r="B21" s="106" t="n">
        <v>5</v>
      </c>
      <c r="C21" s="107" t="n">
        <v>3</v>
      </c>
      <c r="D21" s="108" t="inlineStr">
        <is>
          <t>Apr–Oct</t>
        </is>
      </c>
      <c r="E21" s="109" t="inlineStr">
        <is>
          <t>Feb 15</t>
        </is>
      </c>
      <c r="F21" s="109" t="inlineStr">
        <is>
          <t>Oct 31</t>
        </is>
      </c>
      <c r="G21" s="110" t="inlineStr">
        <is>
          <t>—</t>
        </is>
      </c>
      <c r="H21" s="89" t="n"/>
      <c r="I21" s="398" t="n"/>
      <c r="J21" s="398" t="n"/>
      <c r="K21" s="398" t="n"/>
      <c r="L21" s="398" t="n"/>
      <c r="M21" s="398" t="n"/>
      <c r="N21" s="398" t="n"/>
      <c r="O21" s="399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8" customHeight="1" s="363">
      <c r="A22" s="105" t="inlineStr">
        <is>
          <t>Hugos</t>
        </is>
      </c>
      <c r="B22" s="106" t="n">
        <v>4</v>
      </c>
      <c r="C22" s="107" t="n">
        <v>4</v>
      </c>
      <c r="D22" s="108" t="inlineStr">
        <is>
          <t>Apr–Oct</t>
        </is>
      </c>
      <c r="E22" s="109" t="inlineStr">
        <is>
          <t>Feb 15</t>
        </is>
      </c>
      <c r="F22" s="109" t="inlineStr">
        <is>
          <t>Oct 31</t>
        </is>
      </c>
      <c r="G22" s="110" t="inlineStr">
        <is>
          <t>—</t>
        </is>
      </c>
      <c r="H22" s="89" t="n"/>
      <c r="I22" s="398" t="n"/>
      <c r="J22" s="398" t="n"/>
      <c r="K22" s="398" t="n"/>
      <c r="L22" s="398" t="n"/>
      <c r="M22" s="398" t="n"/>
      <c r="N22" s="398" t="n"/>
      <c r="O22" s="399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8" customHeight="1" s="363">
      <c r="A23" s="105" t="inlineStr">
        <is>
          <t>Ramla</t>
        </is>
      </c>
      <c r="B23" s="106" t="n">
        <v>3</v>
      </c>
      <c r="C23" s="107" t="n">
        <v>2</v>
      </c>
      <c r="D23" s="108" t="inlineStr">
        <is>
          <t>Apr–Oct</t>
        </is>
      </c>
      <c r="E23" s="109" t="inlineStr">
        <is>
          <t>Feb 15</t>
        </is>
      </c>
      <c r="F23" s="109" t="inlineStr">
        <is>
          <t>Oct 31</t>
        </is>
      </c>
      <c r="G23" s="110" t="inlineStr">
        <is>
          <t>—</t>
        </is>
      </c>
      <c r="H23" s="89" t="n"/>
      <c r="I23" s="398" t="n"/>
      <c r="J23" s="398" t="n"/>
      <c r="K23" s="398" t="n"/>
      <c r="L23" s="398" t="n"/>
      <c r="M23" s="398" t="n"/>
      <c r="N23" s="398" t="n"/>
      <c r="O23" s="399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8" customHeight="1" s="363">
      <c r="A24" s="105" t="inlineStr">
        <is>
          <t>Hyatt</t>
        </is>
      </c>
      <c r="B24" s="106" t="n">
        <v>2</v>
      </c>
      <c r="C24" s="107" t="n">
        <v>2</v>
      </c>
      <c r="D24" s="108" t="inlineStr">
        <is>
          <t>Apr–Oct</t>
        </is>
      </c>
      <c r="E24" s="109" t="inlineStr">
        <is>
          <t>Feb 15</t>
        </is>
      </c>
      <c r="F24" s="109" t="inlineStr">
        <is>
          <t>Oct 31</t>
        </is>
      </c>
      <c r="G24" s="110" t="inlineStr">
        <is>
          <t>—</t>
        </is>
      </c>
      <c r="H24" s="89" t="n"/>
      <c r="I24" s="398" t="n"/>
      <c r="J24" s="398" t="n"/>
      <c r="K24" s="398" t="n"/>
      <c r="L24" s="398" t="n"/>
      <c r="M24" s="398" t="n"/>
      <c r="N24" s="398" t="n"/>
      <c r="O24" s="399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8" customHeight="1" s="363">
      <c r="A25" s="105" t="inlineStr">
        <is>
          <t>Excelsior</t>
        </is>
      </c>
      <c r="B25" s="106" t="n">
        <v>2</v>
      </c>
      <c r="C25" s="107" t="n">
        <v>2</v>
      </c>
      <c r="D25" s="108" t="inlineStr">
        <is>
          <t>Apr–Oct</t>
        </is>
      </c>
      <c r="E25" s="109" t="inlineStr">
        <is>
          <t>Feb 15</t>
        </is>
      </c>
      <c r="F25" s="109" t="inlineStr">
        <is>
          <t>Oct 31</t>
        </is>
      </c>
      <c r="G25" s="110" t="inlineStr">
        <is>
          <t>—</t>
        </is>
      </c>
      <c r="H25" s="89" t="n"/>
      <c r="I25" s="398" t="n"/>
      <c r="J25" s="398" t="n"/>
      <c r="K25" s="398" t="n"/>
      <c r="L25" s="398" t="n"/>
      <c r="M25" s="398" t="n"/>
      <c r="N25" s="398" t="n"/>
      <c r="O25" s="399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8" customHeight="1" s="363">
      <c r="A26" s="105" t="inlineStr">
        <is>
          <t>Riviera</t>
        </is>
      </c>
      <c r="B26" s="106" t="n">
        <v>2</v>
      </c>
      <c r="C26" s="107" t="n">
        <v>1</v>
      </c>
      <c r="D26" s="108" t="inlineStr">
        <is>
          <t>Apr–Oct</t>
        </is>
      </c>
      <c r="E26" s="109" t="inlineStr">
        <is>
          <t>Feb 15</t>
        </is>
      </c>
      <c r="F26" s="109" t="inlineStr">
        <is>
          <t>Oct 31</t>
        </is>
      </c>
      <c r="G26" s="110" t="inlineStr">
        <is>
          <t>ACTION: Reduce permanent headcount from 4T → 2T. Hire 1 seasonal therapist for Apr–Oct. Annual saving vs current model: €21,801.</t>
        </is>
      </c>
      <c r="H26" s="89" t="n"/>
      <c r="I26" s="398" t="n"/>
      <c r="J26" s="398" t="n"/>
      <c r="K26" s="398" t="n"/>
      <c r="L26" s="398" t="n"/>
      <c r="M26" s="398" t="n"/>
      <c r="N26" s="398" t="n"/>
      <c r="O26" s="399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8" customHeight="1" s="363">
      <c r="A27" s="105" t="inlineStr">
        <is>
          <t>Sunny Coast</t>
        </is>
      </c>
      <c r="B27" s="106" t="n">
        <v>2</v>
      </c>
      <c r="C27" s="107" t="n">
        <v>1</v>
      </c>
      <c r="D27" s="108" t="inlineStr">
        <is>
          <t>Apr–Oct</t>
        </is>
      </c>
      <c r="E27" s="109" t="inlineStr">
        <is>
          <t>Feb 15</t>
        </is>
      </c>
      <c r="F27" s="109" t="inlineStr">
        <is>
          <t>Oct 31</t>
        </is>
      </c>
      <c r="G27" s="110" t="inlineStr">
        <is>
          <t>—</t>
        </is>
      </c>
      <c r="H27" s="89" t="n"/>
      <c r="I27" s="398" t="n"/>
      <c r="J27" s="398" t="n"/>
      <c r="K27" s="398" t="n"/>
      <c r="L27" s="398" t="n"/>
      <c r="M27" s="398" t="n"/>
      <c r="N27" s="398" t="n"/>
      <c r="O27" s="399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8" customHeight="1" s="363">
      <c r="A28" s="105" t="inlineStr">
        <is>
          <t>Novotel</t>
        </is>
      </c>
      <c r="B28" s="106" t="n">
        <v>1</v>
      </c>
      <c r="C28" s="107" t="n">
        <v>2</v>
      </c>
      <c r="D28" s="108" t="inlineStr">
        <is>
          <t>Apr–Oct</t>
        </is>
      </c>
      <c r="E28" s="109" t="inlineStr">
        <is>
          <t>Feb 15</t>
        </is>
      </c>
      <c r="F28" s="109" t="inlineStr">
        <is>
          <t>Oct 31</t>
        </is>
      </c>
      <c r="G28" s="110" t="inlineStr">
        <is>
          <t>—</t>
        </is>
      </c>
      <c r="H28" s="89" t="n"/>
      <c r="I28" s="398" t="n"/>
      <c r="J28" s="398" t="n"/>
      <c r="K28" s="398" t="n"/>
      <c r="L28" s="398" t="n"/>
      <c r="M28" s="398" t="n"/>
      <c r="N28" s="398" t="n"/>
      <c r="O28" s="399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8" customHeight="1" s="363">
      <c r="A29" s="111" t="inlineStr">
        <is>
          <t>Sliema (NEW)</t>
        </is>
      </c>
      <c r="B29" s="112" t="n">
        <v>5</v>
      </c>
      <c r="C29" s="107" t="n">
        <v>2</v>
      </c>
      <c r="D29" s="113" t="inlineStr">
        <is>
          <t>Apr–Oct</t>
        </is>
      </c>
      <c r="E29" s="114" t="inlineStr">
        <is>
          <t>Feb 15</t>
        </is>
      </c>
      <c r="F29" s="114" t="inlineStr">
        <is>
          <t>Oct 31</t>
        </is>
      </c>
      <c r="G29" s="100" t="inlineStr">
        <is>
          <t>URGENT — Hire 3 permanent therapists immediately. Current 2T cannot service projected €500k/yr revenue. Estimated lost revenue from capacity shortfall: €50,000–€70,000/yr.</t>
        </is>
      </c>
      <c r="H29" s="89" t="n"/>
      <c r="I29" s="398" t="n"/>
      <c r="J29" s="398" t="n"/>
      <c r="K29" s="398" t="n"/>
      <c r="L29" s="398" t="n"/>
      <c r="M29" s="398" t="n"/>
      <c r="N29" s="398" t="n"/>
      <c r="O29" s="399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363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363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363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36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363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363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363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363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363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363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363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363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36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363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363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363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363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363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363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363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363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36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36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36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36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36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36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36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</row>
  </sheetData>
  <mergeCells count="18">
    <mergeCell ref="H28:O28"/>
    <mergeCell ref="A2:O2"/>
    <mergeCell ref="H20:O20"/>
    <mergeCell ref="H26:O26"/>
    <mergeCell ref="H25:O25"/>
    <mergeCell ref="H29:O29"/>
    <mergeCell ref="H21:O21"/>
    <mergeCell ref="D4:F4"/>
    <mergeCell ref="A1:O1"/>
    <mergeCell ref="G4:I4"/>
    <mergeCell ref="H24:O24"/>
    <mergeCell ref="J4:L4"/>
    <mergeCell ref="H22:O22"/>
    <mergeCell ref="A4:C4"/>
    <mergeCell ref="A18:O18"/>
    <mergeCell ref="A16:M16"/>
    <mergeCell ref="H23:O23"/>
    <mergeCell ref="H27:O27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363" min="1" max="1"/>
    <col width="16" customWidth="1" style="363" min="2" max="2"/>
    <col width="9" customWidth="1" style="363" min="3" max="10"/>
    <col width="22" customWidth="1" style="363" min="11" max="11"/>
    <col width="18" customWidth="1" style="363" min="12" max="12"/>
    <col width="16" customWidth="1" style="363" min="13" max="13"/>
    <col width="7" customWidth="1" style="363" min="14" max="20"/>
    <col width="9" customWidth="1" style="363" min="21" max="21"/>
  </cols>
  <sheetData>
    <row r="1" ht="30" customHeight="1" s="363">
      <c r="A1" s="403" t="inlineStr">
        <is>
          <t>å</t>
        </is>
      </c>
      <c r="B1" s="398" t="n"/>
      <c r="C1" s="398" t="n"/>
      <c r="D1" s="398" t="n"/>
      <c r="E1" s="398" t="n"/>
      <c r="F1" s="398" t="n"/>
      <c r="G1" s="398" t="n"/>
      <c r="H1" s="398" t="n"/>
      <c r="I1" s="398" t="n"/>
      <c r="J1" s="399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04" t="inlineStr">
        <is>
          <t>Shift A = 09:00–18:00  |  Shift B = 11:00–20:00  |  OFF = Day Off  |  ★ = Peak Day (Fri/Sat/Sun)  |  SATURDAY IS MANDATORY — no Sat OFF for any staff member</t>
        </is>
      </c>
      <c r="B2" s="398" t="n"/>
      <c r="C2" s="398" t="n"/>
      <c r="D2" s="398" t="n"/>
      <c r="E2" s="398" t="n"/>
      <c r="F2" s="398" t="n"/>
      <c r="G2" s="398" t="n"/>
      <c r="H2" s="398" t="n"/>
      <c r="I2" s="398" t="n"/>
      <c r="J2" s="399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9.5" customHeight="1" s="363">
      <c r="A3" s="407" t="inlineStr">
        <is>
          <t xml:space="preserve">  A — Early 09:00–18:00</t>
        </is>
      </c>
      <c r="B3" s="399" t="n"/>
      <c r="C3" s="57" t="n"/>
      <c r="D3" s="408" t="inlineStr">
        <is>
          <t xml:space="preserve">  B — Late 11:00–20:00</t>
        </is>
      </c>
      <c r="E3" s="399" t="n"/>
      <c r="F3" s="57" t="n"/>
      <c r="G3" s="409" t="inlineStr">
        <is>
          <t xml:space="preserve">  OFF — Day Off</t>
        </is>
      </c>
      <c r="H3" s="399" t="n"/>
      <c r="I3" s="57" t="n"/>
      <c r="J3" s="5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9.75" customHeight="1" s="363">
      <c r="A4" s="57" t="n"/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7.75" customHeight="1" s="363">
      <c r="A5" s="410" t="inlineStr">
        <is>
          <t>ROSTER 1 — INTER  (Tier 1 | Revenue-Max 40% HC | 9T + 2R + 1S)</t>
        </is>
      </c>
      <c r="B5" s="398" t="n"/>
      <c r="C5" s="398" t="n"/>
      <c r="D5" s="398" t="n"/>
      <c r="E5" s="398" t="n"/>
      <c r="F5" s="398" t="n"/>
      <c r="G5" s="398" t="n"/>
      <c r="H5" s="398" t="n"/>
      <c r="I5" s="398" t="n"/>
      <c r="J5" s="399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75" customHeight="1" s="363">
      <c r="A6" s="404" t="inlineStr">
        <is>
          <t>2025 Revenue: €49,475/mo (ex-VAT)  |  HC Budget (40%): €19,790  |  Base Cost: €18,000  |  9 therapists on Fri/Sat/Sun | 6A + 3B peak coverage</t>
        </is>
      </c>
      <c r="B6" s="398" t="n"/>
      <c r="C6" s="398" t="n"/>
      <c r="D6" s="398" t="n"/>
      <c r="E6" s="398" t="n"/>
      <c r="F6" s="398" t="n"/>
      <c r="G6" s="398" t="n"/>
      <c r="H6" s="398" t="n"/>
      <c r="I6" s="398" t="n"/>
      <c r="J6" s="399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1.75" customHeight="1" s="363">
      <c r="A7" s="120" t="inlineStr">
        <is>
          <t>STAFF</t>
        </is>
      </c>
      <c r="B7" s="120" t="inlineStr">
        <is>
          <t>ROLE</t>
        </is>
      </c>
      <c r="C7" s="120" t="inlineStr">
        <is>
          <t>MON</t>
        </is>
      </c>
      <c r="D7" s="120" t="inlineStr">
        <is>
          <t>TUE</t>
        </is>
      </c>
      <c r="E7" s="120" t="inlineStr">
        <is>
          <t>WED</t>
        </is>
      </c>
      <c r="F7" s="120" t="inlineStr">
        <is>
          <t>THU</t>
        </is>
      </c>
      <c r="G7" s="121" t="inlineStr">
        <is>
          <t>FRI ★</t>
        </is>
      </c>
      <c r="H7" s="121" t="inlineStr">
        <is>
          <t>SAT ★</t>
        </is>
      </c>
      <c r="I7" s="121" t="inlineStr">
        <is>
          <t>SUN ★</t>
        </is>
      </c>
      <c r="J7" s="120" t="inlineStr">
        <is>
          <t>DAYS ON</t>
        </is>
      </c>
      <c r="K7" s="122" t="inlineStr">
        <is>
          <t>║ ACTUALS (APR 2026)</t>
        </is>
      </c>
      <c r="L7" s="123" t="inlineStr">
        <is>
          <t>STAFF (ACTUAL)</t>
        </is>
      </c>
      <c r="M7" s="123" t="inlineStr">
        <is>
          <t>ROLE</t>
        </is>
      </c>
      <c r="N7" s="123" t="inlineStr">
        <is>
          <t>MON</t>
        </is>
      </c>
      <c r="O7" s="123" t="inlineStr">
        <is>
          <t>TUE</t>
        </is>
      </c>
      <c r="P7" s="123" t="inlineStr">
        <is>
          <t>WED</t>
        </is>
      </c>
      <c r="Q7" s="123" t="inlineStr">
        <is>
          <t>THU</t>
        </is>
      </c>
      <c r="R7" s="123" t="inlineStr">
        <is>
          <t>FRI ★</t>
        </is>
      </c>
      <c r="S7" s="123" t="inlineStr">
        <is>
          <t>SAT ★</t>
        </is>
      </c>
      <c r="T7" s="123" t="inlineStr">
        <is>
          <t>SUN ★</t>
        </is>
      </c>
      <c r="U7" s="123" t="inlineStr">
        <is>
          <t>DAYS ON</t>
        </is>
      </c>
      <c r="V7" s="7" t="n"/>
      <c r="W7" s="7" t="n"/>
      <c r="X7" s="7" t="n"/>
      <c r="Y7" s="7" t="n"/>
      <c r="Z7" s="7" t="n"/>
    </row>
    <row r="8" ht="21.75" customHeight="1" s="363">
      <c r="A8" s="124" t="inlineStr">
        <is>
          <t>T1 — Isabelle</t>
        </is>
      </c>
      <c r="B8" s="125" t="inlineStr">
        <is>
          <t>Therapist</t>
        </is>
      </c>
      <c r="C8" s="126" t="inlineStr">
        <is>
          <t>OFF</t>
        </is>
      </c>
      <c r="D8" s="126" t="inlineStr">
        <is>
          <t>OFF</t>
        </is>
      </c>
      <c r="E8" s="127" t="inlineStr">
        <is>
          <t>A</t>
        </is>
      </c>
      <c r="F8" s="127" t="inlineStr">
        <is>
          <t>A</t>
        </is>
      </c>
      <c r="G8" s="127" t="inlineStr">
        <is>
          <t>A</t>
        </is>
      </c>
      <c r="H8" s="127" t="inlineStr">
        <is>
          <t>A</t>
        </is>
      </c>
      <c r="I8" s="127" t="inlineStr">
        <is>
          <t>A</t>
        </is>
      </c>
      <c r="J8" s="128" t="n">
        <v>5</v>
      </c>
      <c r="K8" s="129" t="n"/>
      <c r="L8" s="130" t="inlineStr">
        <is>
          <t>Milena</t>
        </is>
      </c>
      <c r="M8" s="130" t="inlineStr">
        <is>
          <t>Top Therapist</t>
        </is>
      </c>
      <c r="N8" s="131" t="inlineStr">
        <is>
          <t>OFF</t>
        </is>
      </c>
      <c r="O8" s="131" t="inlineStr">
        <is>
          <t>OFF</t>
        </is>
      </c>
      <c r="P8" s="132" t="inlineStr">
        <is>
          <t>A</t>
        </is>
      </c>
      <c r="Q8" s="132" t="inlineStr">
        <is>
          <t>A</t>
        </is>
      </c>
      <c r="R8" s="132" t="inlineStr">
        <is>
          <t>A</t>
        </is>
      </c>
      <c r="S8" s="132" t="inlineStr">
        <is>
          <t>A</t>
        </is>
      </c>
      <c r="T8" s="133" t="inlineStr">
        <is>
          <t>B</t>
        </is>
      </c>
      <c r="U8" s="134" t="n">
        <v>5</v>
      </c>
      <c r="V8" s="7" t="n"/>
      <c r="W8" s="7" t="n"/>
      <c r="X8" s="7" t="n"/>
      <c r="Y8" s="7" t="n"/>
      <c r="Z8" s="7" t="n"/>
    </row>
    <row r="9" ht="21.75" customHeight="1" s="363">
      <c r="A9" s="135" t="inlineStr">
        <is>
          <t>T2 — Margaux</t>
        </is>
      </c>
      <c r="B9" s="136" t="inlineStr">
        <is>
          <t>Therapist</t>
        </is>
      </c>
      <c r="C9" s="126" t="inlineStr">
        <is>
          <t>OFF</t>
        </is>
      </c>
      <c r="D9" s="126" t="inlineStr">
        <is>
          <t>OFF</t>
        </is>
      </c>
      <c r="E9" s="127" t="inlineStr">
        <is>
          <t>A</t>
        </is>
      </c>
      <c r="F9" s="127" t="inlineStr">
        <is>
          <t>A</t>
        </is>
      </c>
      <c r="G9" s="127" t="inlineStr">
        <is>
          <t>A</t>
        </is>
      </c>
      <c r="H9" s="127" t="inlineStr">
        <is>
          <t>A</t>
        </is>
      </c>
      <c r="I9" s="137" t="inlineStr">
        <is>
          <t>B</t>
        </is>
      </c>
      <c r="J9" s="128" t="n">
        <v>5</v>
      </c>
      <c r="K9" s="129" t="n"/>
      <c r="L9" s="130" t="inlineStr">
        <is>
          <t>Valeri</t>
        </is>
      </c>
      <c r="M9" s="130" t="inlineStr">
        <is>
          <t>Therapist</t>
        </is>
      </c>
      <c r="N9" s="131" t="inlineStr">
        <is>
          <t>OFF</t>
        </is>
      </c>
      <c r="O9" s="131" t="inlineStr">
        <is>
          <t>OFF</t>
        </is>
      </c>
      <c r="P9" s="133" t="inlineStr">
        <is>
          <t>B</t>
        </is>
      </c>
      <c r="Q9" s="133" t="inlineStr">
        <is>
          <t>B</t>
        </is>
      </c>
      <c r="R9" s="133" t="inlineStr">
        <is>
          <t>B</t>
        </is>
      </c>
      <c r="S9" s="132" t="inlineStr">
        <is>
          <t>A</t>
        </is>
      </c>
      <c r="T9" s="132" t="inlineStr">
        <is>
          <t>A</t>
        </is>
      </c>
      <c r="U9" s="134" t="n">
        <v>5</v>
      </c>
      <c r="V9" s="7" t="n"/>
      <c r="W9" s="7" t="n"/>
      <c r="X9" s="7" t="n"/>
      <c r="Y9" s="7" t="n"/>
      <c r="Z9" s="7" t="n"/>
    </row>
    <row r="10" ht="21.75" customHeight="1" s="363">
      <c r="A10" s="124" t="inlineStr">
        <is>
          <t>T3 — Chiara</t>
        </is>
      </c>
      <c r="B10" s="125" t="inlineStr">
        <is>
          <t>Therapist</t>
        </is>
      </c>
      <c r="C10" s="126" t="inlineStr">
        <is>
          <t>OFF</t>
        </is>
      </c>
      <c r="D10" s="126" t="inlineStr">
        <is>
          <t>OFF</t>
        </is>
      </c>
      <c r="E10" s="137" t="inlineStr">
        <is>
          <t>B</t>
        </is>
      </c>
      <c r="F10" s="137" t="inlineStr">
        <is>
          <t>B</t>
        </is>
      </c>
      <c r="G10" s="137" t="inlineStr">
        <is>
          <t>B</t>
        </is>
      </c>
      <c r="H10" s="137" t="inlineStr">
        <is>
          <t>B</t>
        </is>
      </c>
      <c r="I10" s="127" t="inlineStr">
        <is>
          <t>A</t>
        </is>
      </c>
      <c r="J10" s="128" t="n">
        <v>5</v>
      </c>
      <c r="K10" s="129" t="n"/>
      <c r="L10" s="130" t="inlineStr">
        <is>
          <t>Mini</t>
        </is>
      </c>
      <c r="M10" s="130" t="inlineStr">
        <is>
          <t>Top Therapist</t>
        </is>
      </c>
      <c r="N10" s="131" t="inlineStr">
        <is>
          <t>OFF</t>
        </is>
      </c>
      <c r="O10" s="131" t="inlineStr">
        <is>
          <t>OFF</t>
        </is>
      </c>
      <c r="P10" s="132" t="inlineStr">
        <is>
          <t>A</t>
        </is>
      </c>
      <c r="Q10" s="132" t="inlineStr">
        <is>
          <t>A</t>
        </is>
      </c>
      <c r="R10" s="133" t="inlineStr">
        <is>
          <t>B</t>
        </is>
      </c>
      <c r="S10" s="132" t="inlineStr">
        <is>
          <t>A</t>
        </is>
      </c>
      <c r="T10" s="133" t="inlineStr">
        <is>
          <t>B</t>
        </is>
      </c>
      <c r="U10" s="134" t="n">
        <v>5</v>
      </c>
      <c r="V10" s="7" t="n"/>
      <c r="W10" s="7" t="n"/>
      <c r="X10" s="7" t="n"/>
      <c r="Y10" s="7" t="n"/>
      <c r="Z10" s="7" t="n"/>
    </row>
    <row r="11" ht="21.75" customHeight="1" s="363">
      <c r="A11" s="135" t="inlineStr">
        <is>
          <t>T4 — Eleni</t>
        </is>
      </c>
      <c r="B11" s="136" t="inlineStr">
        <is>
          <t>Therapist</t>
        </is>
      </c>
      <c r="C11" s="127" t="inlineStr">
        <is>
          <t>A</t>
        </is>
      </c>
      <c r="D11" s="126" t="inlineStr">
        <is>
          <t>OFF</t>
        </is>
      </c>
      <c r="E11" s="126" t="inlineStr">
        <is>
          <t>OFF</t>
        </is>
      </c>
      <c r="F11" s="127" t="inlineStr">
        <is>
          <t>A</t>
        </is>
      </c>
      <c r="G11" s="127" t="inlineStr">
        <is>
          <t>A</t>
        </is>
      </c>
      <c r="H11" s="127" t="inlineStr">
        <is>
          <t>A</t>
        </is>
      </c>
      <c r="I11" s="127" t="inlineStr">
        <is>
          <t>A</t>
        </is>
      </c>
      <c r="J11" s="128" t="n">
        <v>5</v>
      </c>
      <c r="K11" s="129" t="n"/>
      <c r="L11" s="130" t="inlineStr">
        <is>
          <t>Julie</t>
        </is>
      </c>
      <c r="M11" s="130" t="inlineStr">
        <is>
          <t>Therapist</t>
        </is>
      </c>
      <c r="N11" s="132" t="inlineStr">
        <is>
          <t>A</t>
        </is>
      </c>
      <c r="O11" s="131" t="inlineStr">
        <is>
          <t>OFF</t>
        </is>
      </c>
      <c r="P11" s="131" t="inlineStr">
        <is>
          <t>OFF</t>
        </is>
      </c>
      <c r="Q11" s="132" t="inlineStr">
        <is>
          <t>A</t>
        </is>
      </c>
      <c r="R11" s="132" t="inlineStr">
        <is>
          <t>A</t>
        </is>
      </c>
      <c r="S11" s="132" t="inlineStr">
        <is>
          <t>A</t>
        </is>
      </c>
      <c r="T11" s="132" t="inlineStr">
        <is>
          <t>A</t>
        </is>
      </c>
      <c r="U11" s="134" t="n">
        <v>5</v>
      </c>
      <c r="V11" s="7" t="n"/>
      <c r="W11" s="7" t="n"/>
      <c r="X11" s="7" t="n"/>
      <c r="Y11" s="7" t="n"/>
      <c r="Z11" s="7" t="n"/>
    </row>
    <row r="12" ht="21.75" customHeight="1" s="363">
      <c r="A12" s="124" t="inlineStr">
        <is>
          <t>T5 — Priya</t>
        </is>
      </c>
      <c r="B12" s="125" t="inlineStr">
        <is>
          <t>Therapist</t>
        </is>
      </c>
      <c r="C12" s="127" t="inlineStr">
        <is>
          <t>A</t>
        </is>
      </c>
      <c r="D12" s="126" t="inlineStr">
        <is>
          <t>OFF</t>
        </is>
      </c>
      <c r="E12" s="126" t="inlineStr">
        <is>
          <t>OFF</t>
        </is>
      </c>
      <c r="F12" s="127" t="inlineStr">
        <is>
          <t>A</t>
        </is>
      </c>
      <c r="G12" s="127" t="inlineStr">
        <is>
          <t>A</t>
        </is>
      </c>
      <c r="H12" s="127" t="inlineStr">
        <is>
          <t>A</t>
        </is>
      </c>
      <c r="I12" s="137" t="inlineStr">
        <is>
          <t>B</t>
        </is>
      </c>
      <c r="J12" s="128" t="n">
        <v>5</v>
      </c>
      <c r="K12" s="129" t="n"/>
      <c r="L12" s="130" t="inlineStr">
        <is>
          <t>Claudia</t>
        </is>
      </c>
      <c r="M12" s="130" t="inlineStr">
        <is>
          <t>Therapist</t>
        </is>
      </c>
      <c r="N12" s="133" t="inlineStr">
        <is>
          <t>B</t>
        </is>
      </c>
      <c r="O12" s="131" t="inlineStr">
        <is>
          <t>OFF</t>
        </is>
      </c>
      <c r="P12" s="131" t="inlineStr">
        <is>
          <t>OFF</t>
        </is>
      </c>
      <c r="Q12" s="133" t="inlineStr">
        <is>
          <t>B</t>
        </is>
      </c>
      <c r="R12" s="133" t="inlineStr">
        <is>
          <t>B</t>
        </is>
      </c>
      <c r="S12" s="132" t="inlineStr">
        <is>
          <t>A</t>
        </is>
      </c>
      <c r="T12" s="133" t="inlineStr">
        <is>
          <t>B</t>
        </is>
      </c>
      <c r="U12" s="134" t="n">
        <v>5</v>
      </c>
      <c r="V12" s="7" t="n"/>
      <c r="W12" s="7" t="n"/>
      <c r="X12" s="7" t="n"/>
      <c r="Y12" s="7" t="n"/>
      <c r="Z12" s="7" t="n"/>
    </row>
    <row r="13" ht="21.75" customHeight="1" s="363">
      <c r="A13" s="135" t="inlineStr">
        <is>
          <t>T6 — Sofia</t>
        </is>
      </c>
      <c r="B13" s="136" t="inlineStr">
        <is>
          <t>Therapist</t>
        </is>
      </c>
      <c r="C13" s="137" t="inlineStr">
        <is>
          <t>B</t>
        </is>
      </c>
      <c r="D13" s="126" t="inlineStr">
        <is>
          <t>OFF</t>
        </is>
      </c>
      <c r="E13" s="126" t="inlineStr">
        <is>
          <t>OFF</t>
        </is>
      </c>
      <c r="F13" s="137" t="inlineStr">
        <is>
          <t>B</t>
        </is>
      </c>
      <c r="G13" s="137" t="inlineStr">
        <is>
          <t>B</t>
        </is>
      </c>
      <c r="H13" s="137" t="inlineStr">
        <is>
          <t>B</t>
        </is>
      </c>
      <c r="I13" s="127" t="inlineStr">
        <is>
          <t>A</t>
        </is>
      </c>
      <c r="J13" s="128" t="n">
        <v>5</v>
      </c>
      <c r="K13" s="129" t="n"/>
      <c r="L13" s="130" t="inlineStr">
        <is>
          <t>Chris</t>
        </is>
      </c>
      <c r="M13" s="130" t="inlineStr">
        <is>
          <t>Therapist</t>
        </is>
      </c>
      <c r="N13" s="132" t="inlineStr">
        <is>
          <t>A</t>
        </is>
      </c>
      <c r="O13" s="132" t="inlineStr">
        <is>
          <t>A</t>
        </is>
      </c>
      <c r="P13" s="131" t="inlineStr">
        <is>
          <t>OFF</t>
        </is>
      </c>
      <c r="Q13" s="131" t="inlineStr">
        <is>
          <t>OFF</t>
        </is>
      </c>
      <c r="R13" s="132" t="inlineStr">
        <is>
          <t>A</t>
        </is>
      </c>
      <c r="S13" s="132" t="inlineStr">
        <is>
          <t>A</t>
        </is>
      </c>
      <c r="T13" s="132" t="inlineStr">
        <is>
          <t>A</t>
        </is>
      </c>
      <c r="U13" s="134" t="n">
        <v>5</v>
      </c>
      <c r="V13" s="7" t="n"/>
      <c r="W13" s="7" t="n"/>
      <c r="X13" s="7" t="n"/>
      <c r="Y13" s="7" t="n"/>
      <c r="Z13" s="7" t="n"/>
    </row>
    <row r="14" ht="21.75" customHeight="1" s="363">
      <c r="A14" s="124" t="inlineStr">
        <is>
          <t>T7 — Anya</t>
        </is>
      </c>
      <c r="B14" s="125" t="inlineStr">
        <is>
          <t>Therapist</t>
        </is>
      </c>
      <c r="C14" s="127" t="inlineStr">
        <is>
          <t>A</t>
        </is>
      </c>
      <c r="D14" s="127" t="inlineStr">
        <is>
          <t>A</t>
        </is>
      </c>
      <c r="E14" s="126" t="inlineStr">
        <is>
          <t>OFF</t>
        </is>
      </c>
      <c r="F14" s="126" t="inlineStr">
        <is>
          <t>OFF</t>
        </is>
      </c>
      <c r="G14" s="127" t="inlineStr">
        <is>
          <t>A</t>
        </is>
      </c>
      <c r="H14" s="127" t="inlineStr">
        <is>
          <t>A</t>
        </is>
      </c>
      <c r="I14" s="127" t="inlineStr">
        <is>
          <t>A</t>
        </is>
      </c>
      <c r="J14" s="128" t="n">
        <v>5</v>
      </c>
      <c r="K14" s="129" t="n"/>
      <c r="L14" s="130" t="inlineStr">
        <is>
          <t>Anda</t>
        </is>
      </c>
      <c r="M14" s="130" t="inlineStr">
        <is>
          <t>Therapist</t>
        </is>
      </c>
      <c r="N14" s="133" t="inlineStr">
        <is>
          <t>B</t>
        </is>
      </c>
      <c r="O14" s="133" t="inlineStr">
        <is>
          <t>B</t>
        </is>
      </c>
      <c r="P14" s="131" t="inlineStr">
        <is>
          <t>OFF</t>
        </is>
      </c>
      <c r="Q14" s="131" t="inlineStr">
        <is>
          <t>OFF</t>
        </is>
      </c>
      <c r="R14" s="133" t="inlineStr">
        <is>
          <t>B</t>
        </is>
      </c>
      <c r="S14" s="132" t="inlineStr">
        <is>
          <t>A</t>
        </is>
      </c>
      <c r="T14" s="133" t="inlineStr">
        <is>
          <t>B</t>
        </is>
      </c>
      <c r="U14" s="134" t="n">
        <v>5</v>
      </c>
      <c r="V14" s="7" t="n"/>
      <c r="W14" s="7" t="n"/>
      <c r="X14" s="7" t="n"/>
      <c r="Y14" s="7" t="n"/>
      <c r="Z14" s="7" t="n"/>
    </row>
    <row r="15" ht="21.75" customHeight="1" s="363">
      <c r="A15" s="135" t="inlineStr">
        <is>
          <t>T8 — Leila</t>
        </is>
      </c>
      <c r="B15" s="136" t="inlineStr">
        <is>
          <t>Therapist</t>
        </is>
      </c>
      <c r="C15" s="127" t="inlineStr">
        <is>
          <t>A</t>
        </is>
      </c>
      <c r="D15" s="127" t="inlineStr">
        <is>
          <t>A</t>
        </is>
      </c>
      <c r="E15" s="126" t="inlineStr">
        <is>
          <t>OFF</t>
        </is>
      </c>
      <c r="F15" s="126" t="inlineStr">
        <is>
          <t>OFF</t>
        </is>
      </c>
      <c r="G15" s="127" t="inlineStr">
        <is>
          <t>A</t>
        </is>
      </c>
      <c r="H15" s="127" t="inlineStr">
        <is>
          <t>A</t>
        </is>
      </c>
      <c r="I15" s="137" t="inlineStr">
        <is>
          <t>B</t>
        </is>
      </c>
      <c r="J15" s="128" t="n">
        <v>5</v>
      </c>
      <c r="K15" s="129" t="n"/>
      <c r="L15" s="130" t="inlineStr">
        <is>
          <t>Maila</t>
        </is>
      </c>
      <c r="M15" s="130" t="inlineStr">
        <is>
          <t>Advisor</t>
        </is>
      </c>
      <c r="N15" s="131" t="inlineStr">
        <is>
          <t>OFF</t>
        </is>
      </c>
      <c r="O15" s="132" t="inlineStr">
        <is>
          <t>A</t>
        </is>
      </c>
      <c r="P15" s="132" t="inlineStr">
        <is>
          <t>A</t>
        </is>
      </c>
      <c r="Q15" s="132" t="inlineStr">
        <is>
          <t>A</t>
        </is>
      </c>
      <c r="R15" s="132" t="inlineStr">
        <is>
          <t>A</t>
        </is>
      </c>
      <c r="S15" s="132" t="inlineStr">
        <is>
          <t>A</t>
        </is>
      </c>
      <c r="T15" s="131" t="inlineStr">
        <is>
          <t>OFF</t>
        </is>
      </c>
      <c r="U15" s="134" t="n">
        <v>5</v>
      </c>
      <c r="V15" s="7" t="n"/>
      <c r="W15" s="7" t="n"/>
      <c r="X15" s="7" t="n"/>
      <c r="Y15" s="7" t="n"/>
      <c r="Z15" s="7" t="n"/>
    </row>
    <row r="16" ht="21.75" customHeight="1" s="363">
      <c r="A16" s="124" t="inlineStr">
        <is>
          <t>T9 — Nadia</t>
        </is>
      </c>
      <c r="B16" s="125" t="inlineStr">
        <is>
          <t>Therapist</t>
        </is>
      </c>
      <c r="C16" s="137" t="inlineStr">
        <is>
          <t>B</t>
        </is>
      </c>
      <c r="D16" s="137" t="inlineStr">
        <is>
          <t>B</t>
        </is>
      </c>
      <c r="E16" s="126" t="inlineStr">
        <is>
          <t>OFF</t>
        </is>
      </c>
      <c r="F16" s="126" t="inlineStr">
        <is>
          <t>OFF</t>
        </is>
      </c>
      <c r="G16" s="137" t="inlineStr">
        <is>
          <t>B</t>
        </is>
      </c>
      <c r="H16" s="137" t="inlineStr">
        <is>
          <t>B</t>
        </is>
      </c>
      <c r="I16" s="127" t="inlineStr">
        <is>
          <t>A</t>
        </is>
      </c>
      <c r="J16" s="128" t="n">
        <v>5</v>
      </c>
      <c r="K16" s="129" t="n"/>
      <c r="L16" s="130" t="inlineStr">
        <is>
          <t>Romero</t>
        </is>
      </c>
      <c r="M16" s="130" t="inlineStr">
        <is>
          <t>Advisor</t>
        </is>
      </c>
      <c r="N16" s="132" t="inlineStr">
        <is>
          <t>A</t>
        </is>
      </c>
      <c r="O16" s="131" t="inlineStr">
        <is>
          <t>OFF</t>
        </is>
      </c>
      <c r="P16" s="132" t="inlineStr">
        <is>
          <t>A</t>
        </is>
      </c>
      <c r="Q16" s="132" t="inlineStr">
        <is>
          <t>A</t>
        </is>
      </c>
      <c r="R16" s="132" t="inlineStr">
        <is>
          <t>A</t>
        </is>
      </c>
      <c r="S16" s="132" t="inlineStr">
        <is>
          <t>A</t>
        </is>
      </c>
      <c r="T16" s="131" t="inlineStr">
        <is>
          <t>OFF</t>
        </is>
      </c>
      <c r="U16" s="134" t="n">
        <v>5</v>
      </c>
      <c r="V16" s="7" t="n"/>
      <c r="W16" s="7" t="n"/>
      <c r="X16" s="7" t="n"/>
      <c r="Y16" s="7" t="n"/>
      <c r="Z16" s="7" t="n"/>
    </row>
    <row r="17" ht="21.75" customHeight="1" s="363">
      <c r="A17" s="135" t="inlineStr">
        <is>
          <t>R1 — Camille</t>
        </is>
      </c>
      <c r="B17" s="136" t="inlineStr">
        <is>
          <t>Receptionist</t>
        </is>
      </c>
      <c r="C17" s="126" t="inlineStr">
        <is>
          <t>OFF</t>
        </is>
      </c>
      <c r="D17" s="126" t="inlineStr">
        <is>
          <t>OFF</t>
        </is>
      </c>
      <c r="E17" s="127" t="inlineStr">
        <is>
          <t>A</t>
        </is>
      </c>
      <c r="F17" s="127" t="inlineStr">
        <is>
          <t>A</t>
        </is>
      </c>
      <c r="G17" s="127" t="inlineStr">
        <is>
          <t>A</t>
        </is>
      </c>
      <c r="H17" s="127" t="inlineStr">
        <is>
          <t>A</t>
        </is>
      </c>
      <c r="I17" s="127" t="inlineStr">
        <is>
          <t>A</t>
        </is>
      </c>
      <c r="J17" s="128" t="n">
        <v>5</v>
      </c>
      <c r="K17" s="129" t="n"/>
      <c r="L17" s="130" t="inlineStr">
        <is>
          <t>Gabriely</t>
        </is>
      </c>
      <c r="M17" s="130" t="inlineStr">
        <is>
          <t>Advisor</t>
        </is>
      </c>
      <c r="N17" s="132" t="inlineStr">
        <is>
          <t>A</t>
        </is>
      </c>
      <c r="O17" s="132" t="inlineStr">
        <is>
          <t>A</t>
        </is>
      </c>
      <c r="P17" s="131" t="inlineStr">
        <is>
          <t>OFF</t>
        </is>
      </c>
      <c r="Q17" s="132" t="inlineStr">
        <is>
          <t>A</t>
        </is>
      </c>
      <c r="R17" s="132" t="inlineStr">
        <is>
          <t>A</t>
        </is>
      </c>
      <c r="S17" s="132" t="inlineStr">
        <is>
          <t>A</t>
        </is>
      </c>
      <c r="T17" s="131" t="inlineStr">
        <is>
          <t>OFF</t>
        </is>
      </c>
      <c r="U17" s="134" t="n">
        <v>5</v>
      </c>
      <c r="V17" s="7" t="n"/>
      <c r="W17" s="7" t="n"/>
      <c r="X17" s="7" t="n"/>
      <c r="Y17" s="7" t="n"/>
      <c r="Z17" s="7" t="n"/>
    </row>
    <row r="18" ht="21.75" customHeight="1" s="363">
      <c r="A18" s="124" t="inlineStr">
        <is>
          <t>R2 — Yasmin</t>
        </is>
      </c>
      <c r="B18" s="125" t="inlineStr">
        <is>
          <t>Receptionist</t>
        </is>
      </c>
      <c r="C18" s="127" t="inlineStr">
        <is>
          <t>A</t>
        </is>
      </c>
      <c r="D18" s="127" t="inlineStr">
        <is>
          <t>A</t>
        </is>
      </c>
      <c r="E18" s="126" t="inlineStr">
        <is>
          <t>OFF</t>
        </is>
      </c>
      <c r="F18" s="126" t="inlineStr">
        <is>
          <t>OFF</t>
        </is>
      </c>
      <c r="G18" s="127" t="inlineStr">
        <is>
          <t>A</t>
        </is>
      </c>
      <c r="H18" s="127" t="inlineStr">
        <is>
          <t>A</t>
        </is>
      </c>
      <c r="I18" s="127" t="inlineStr">
        <is>
          <t>A</t>
        </is>
      </c>
      <c r="J18" s="128" t="n">
        <v>5</v>
      </c>
      <c r="K18" s="129" t="n"/>
      <c r="L18" s="130" t="inlineStr">
        <is>
          <t>Maria</t>
        </is>
      </c>
      <c r="M18" s="130" t="inlineStr">
        <is>
          <t>Reception</t>
        </is>
      </c>
      <c r="N18" s="132" t="inlineStr">
        <is>
          <t>A</t>
        </is>
      </c>
      <c r="O18" s="132" t="inlineStr">
        <is>
          <t>A</t>
        </is>
      </c>
      <c r="P18" s="132" t="inlineStr">
        <is>
          <t>A</t>
        </is>
      </c>
      <c r="Q18" s="131" t="inlineStr">
        <is>
          <t>OFF</t>
        </is>
      </c>
      <c r="R18" s="132" t="inlineStr">
        <is>
          <t>A</t>
        </is>
      </c>
      <c r="S18" s="132" t="inlineStr">
        <is>
          <t>A</t>
        </is>
      </c>
      <c r="T18" s="131" t="inlineStr">
        <is>
          <t>OFF</t>
        </is>
      </c>
      <c r="U18" s="134" t="n">
        <v>5</v>
      </c>
      <c r="V18" s="7" t="n"/>
      <c r="W18" s="7" t="n"/>
      <c r="X18" s="7" t="n"/>
      <c r="Y18" s="7" t="n"/>
      <c r="Z18" s="7" t="n"/>
    </row>
    <row r="19" ht="21.75" customHeight="1" s="363">
      <c r="A19" s="135" t="inlineStr">
        <is>
          <t>RM1 — Jordan</t>
        </is>
      </c>
      <c r="B19" s="136" t="inlineStr">
        <is>
          <t>Reg. Manager</t>
        </is>
      </c>
      <c r="C19" s="126" t="inlineStr">
        <is>
          <t>OFF</t>
        </is>
      </c>
      <c r="D19" s="138" t="inlineStr">
        <is>
          <t>—</t>
        </is>
      </c>
      <c r="E19" s="138" t="inlineStr">
        <is>
          <t>—</t>
        </is>
      </c>
      <c r="F19" s="127" t="inlineStr">
        <is>
          <t>A</t>
        </is>
      </c>
      <c r="G19" s="127" t="inlineStr">
        <is>
          <t>A</t>
        </is>
      </c>
      <c r="H19" s="127" t="inlineStr">
        <is>
          <t>A</t>
        </is>
      </c>
      <c r="I19" s="126" t="inlineStr">
        <is>
          <t>OFF</t>
        </is>
      </c>
      <c r="J19" s="128" t="n">
        <v>3</v>
      </c>
      <c r="K19" s="129" t="n"/>
      <c r="L19" s="130" t="inlineStr">
        <is>
          <t>Anna</t>
        </is>
      </c>
      <c r="M19" s="130" t="inlineStr">
        <is>
          <t>Supervisor</t>
        </is>
      </c>
      <c r="N19" s="131" t="inlineStr">
        <is>
          <t>OFF</t>
        </is>
      </c>
      <c r="O19" s="132" t="inlineStr">
        <is>
          <t>A</t>
        </is>
      </c>
      <c r="P19" s="132" t="inlineStr">
        <is>
          <t>A</t>
        </is>
      </c>
      <c r="Q19" s="132" t="inlineStr">
        <is>
          <t>A</t>
        </is>
      </c>
      <c r="R19" s="132" t="inlineStr">
        <is>
          <t>A</t>
        </is>
      </c>
      <c r="S19" s="132" t="inlineStr">
        <is>
          <t>A</t>
        </is>
      </c>
      <c r="T19" s="131" t="inlineStr">
        <is>
          <t>OFF</t>
        </is>
      </c>
      <c r="U19" s="134" t="n">
        <v>5</v>
      </c>
      <c r="V19" s="7" t="n"/>
      <c r="W19" s="7" t="n"/>
      <c r="X19" s="7" t="n"/>
      <c r="Y19" s="7" t="n"/>
      <c r="Z19" s="7" t="n"/>
    </row>
    <row r="20" ht="7.5" customHeight="1" s="363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411" t="inlineStr">
        <is>
          <t>Therapists on floor (min 2):</t>
        </is>
      </c>
      <c r="B21" s="399" t="n"/>
      <c r="C21" s="140" t="inlineStr">
        <is>
          <t>✓ 6</t>
        </is>
      </c>
      <c r="D21" s="140" t="inlineStr">
        <is>
          <t>✓ 3</t>
        </is>
      </c>
      <c r="E21" s="140" t="inlineStr">
        <is>
          <t>✓ 3</t>
        </is>
      </c>
      <c r="F21" s="140" t="inlineStr">
        <is>
          <t>✓ 6</t>
        </is>
      </c>
      <c r="G21" s="140" t="inlineStr">
        <is>
          <t>✓ 9</t>
        </is>
      </c>
      <c r="H21" s="140" t="inlineStr">
        <is>
          <t>✓ 9</t>
        </is>
      </c>
      <c r="I21" s="140" t="inlineStr">
        <is>
          <t>✓ 9</t>
        </is>
      </c>
      <c r="J21" s="5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411" t="inlineStr">
        <is>
          <t>Reception covered (min 1):</t>
        </is>
      </c>
      <c r="B22" s="399" t="n"/>
      <c r="C22" s="140" t="inlineStr">
        <is>
          <t>✓ 1</t>
        </is>
      </c>
      <c r="D22" s="140" t="inlineStr">
        <is>
          <t>✓ 1</t>
        </is>
      </c>
      <c r="E22" s="140" t="inlineStr">
        <is>
          <t>✓ 1</t>
        </is>
      </c>
      <c r="F22" s="140" t="inlineStr">
        <is>
          <t>✓ 1</t>
        </is>
      </c>
      <c r="G22" s="140" t="inlineStr">
        <is>
          <t>✓ 2</t>
        </is>
      </c>
      <c r="H22" s="140" t="inlineStr">
        <is>
          <t>✓ 2</t>
        </is>
      </c>
      <c r="I22" s="140" t="inlineStr">
        <is>
          <t>✓ 2</t>
        </is>
      </c>
      <c r="J22" s="5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411" t="inlineStr">
        <is>
          <t>Double shift coverage (A+B):</t>
        </is>
      </c>
      <c r="B23" s="399" t="n"/>
      <c r="C23" s="140" t="inlineStr">
        <is>
          <t>A+B ✓</t>
        </is>
      </c>
      <c r="D23" s="140" t="inlineStr">
        <is>
          <t>A+B ✓</t>
        </is>
      </c>
      <c r="E23" s="140" t="inlineStr">
        <is>
          <t>A+B ✓</t>
        </is>
      </c>
      <c r="F23" s="140" t="inlineStr">
        <is>
          <t>A+B ✓</t>
        </is>
      </c>
      <c r="G23" s="140" t="inlineStr">
        <is>
          <t>A+B ✓</t>
        </is>
      </c>
      <c r="H23" s="140" t="inlineStr">
        <is>
          <t>A+B ✓</t>
        </is>
      </c>
      <c r="I23" s="140" t="inlineStr">
        <is>
          <t>A+B ✓</t>
        </is>
      </c>
      <c r="J23" s="5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363">
      <c r="A24" s="57" t="n"/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27.75" customHeight="1" s="363">
      <c r="A25" s="410" t="inlineStr">
        <is>
          <t>ROSTER 2 — HUGOS  (Tier 1 | 9T + 2R + 0.5S shared w/ Hyatt)</t>
        </is>
      </c>
      <c r="B25" s="398" t="n"/>
      <c r="C25" s="398" t="n"/>
      <c r="D25" s="398" t="n"/>
      <c r="E25" s="398" t="n"/>
      <c r="F25" s="398" t="n"/>
      <c r="G25" s="398" t="n"/>
      <c r="H25" s="398" t="n"/>
      <c r="I25" s="398" t="n"/>
      <c r="J25" s="399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363">
      <c r="A26" s="404" t="inlineStr">
        <is>
          <t>2025 Revenue: €47,546/mo (ex-VAT)  |  HC Budget (40%): €19,018  |  Base Cost: €17,150 (0.5S shared w/ Hyatt)  |  Sister site to Inter (5-min walk) — identical schedule structure</t>
        </is>
      </c>
      <c r="B26" s="398" t="n"/>
      <c r="C26" s="398" t="n"/>
      <c r="D26" s="398" t="n"/>
      <c r="E26" s="398" t="n"/>
      <c r="F26" s="398" t="n"/>
      <c r="G26" s="398" t="n"/>
      <c r="H26" s="398" t="n"/>
      <c r="I26" s="398" t="n"/>
      <c r="J26" s="399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21.75" customHeight="1" s="363">
      <c r="A27" s="120" t="inlineStr">
        <is>
          <t>STAFF</t>
        </is>
      </c>
      <c r="B27" s="120" t="inlineStr">
        <is>
          <t>ROLE</t>
        </is>
      </c>
      <c r="C27" s="120" t="inlineStr">
        <is>
          <t>MON</t>
        </is>
      </c>
      <c r="D27" s="120" t="inlineStr">
        <is>
          <t>TUE</t>
        </is>
      </c>
      <c r="E27" s="120" t="inlineStr">
        <is>
          <t>WED</t>
        </is>
      </c>
      <c r="F27" s="120" t="inlineStr">
        <is>
          <t>THU</t>
        </is>
      </c>
      <c r="G27" s="121" t="inlineStr">
        <is>
          <t>FRI ★</t>
        </is>
      </c>
      <c r="H27" s="121" t="inlineStr">
        <is>
          <t>SAT ★</t>
        </is>
      </c>
      <c r="I27" s="121" t="inlineStr">
        <is>
          <t>SUN ★</t>
        </is>
      </c>
      <c r="J27" s="120" t="inlineStr">
        <is>
          <t>DAYS ON</t>
        </is>
      </c>
      <c r="K27" s="122" t="inlineStr">
        <is>
          <t>║ ACTUALS (APR 2026)</t>
        </is>
      </c>
      <c r="L27" s="123" t="inlineStr">
        <is>
          <t>STAFF (ACTUAL)</t>
        </is>
      </c>
      <c r="M27" s="123" t="inlineStr">
        <is>
          <t>ROLE</t>
        </is>
      </c>
      <c r="N27" s="123" t="inlineStr">
        <is>
          <t>MON</t>
        </is>
      </c>
      <c r="O27" s="123" t="inlineStr">
        <is>
          <t>TUE</t>
        </is>
      </c>
      <c r="P27" s="123" t="inlineStr">
        <is>
          <t>WED</t>
        </is>
      </c>
      <c r="Q27" s="123" t="inlineStr">
        <is>
          <t>THU</t>
        </is>
      </c>
      <c r="R27" s="123" t="inlineStr">
        <is>
          <t>FRI ★</t>
        </is>
      </c>
      <c r="S27" s="123" t="inlineStr">
        <is>
          <t>SAT ★</t>
        </is>
      </c>
      <c r="T27" s="123" t="inlineStr">
        <is>
          <t>SUN ★</t>
        </is>
      </c>
      <c r="U27" s="123" t="inlineStr">
        <is>
          <t>DAYS ON</t>
        </is>
      </c>
      <c r="V27" s="7" t="n"/>
      <c r="W27" s="7" t="n"/>
      <c r="X27" s="7" t="n"/>
      <c r="Y27" s="7" t="n"/>
      <c r="Z27" s="7" t="n"/>
    </row>
    <row r="28" ht="21.75" customHeight="1" s="363">
      <c r="A28" s="124" t="inlineStr">
        <is>
          <t>T1 — Lucia</t>
        </is>
      </c>
      <c r="B28" s="125" t="inlineStr">
        <is>
          <t>Therapist</t>
        </is>
      </c>
      <c r="C28" s="126" t="inlineStr">
        <is>
          <t>OFF</t>
        </is>
      </c>
      <c r="D28" s="126" t="inlineStr">
        <is>
          <t>OFF</t>
        </is>
      </c>
      <c r="E28" s="127" t="inlineStr">
        <is>
          <t>A</t>
        </is>
      </c>
      <c r="F28" s="127" t="inlineStr">
        <is>
          <t>A</t>
        </is>
      </c>
      <c r="G28" s="127" t="inlineStr">
        <is>
          <t>A</t>
        </is>
      </c>
      <c r="H28" s="127" t="inlineStr">
        <is>
          <t>A</t>
        </is>
      </c>
      <c r="I28" s="127" t="inlineStr">
        <is>
          <t>A</t>
        </is>
      </c>
      <c r="J28" s="128" t="n">
        <v>5</v>
      </c>
      <c r="K28" s="129" t="n"/>
      <c r="L28" s="130" t="inlineStr">
        <is>
          <t>Petra</t>
        </is>
      </c>
      <c r="M28" s="130" t="inlineStr">
        <is>
          <t>Therapist</t>
        </is>
      </c>
      <c r="N28" s="131" t="inlineStr">
        <is>
          <t>OFF</t>
        </is>
      </c>
      <c r="O28" s="131" t="inlineStr">
        <is>
          <t>OFF</t>
        </is>
      </c>
      <c r="P28" s="132" t="inlineStr">
        <is>
          <t>A</t>
        </is>
      </c>
      <c r="Q28" s="132" t="inlineStr">
        <is>
          <t>A</t>
        </is>
      </c>
      <c r="R28" s="132" t="inlineStr">
        <is>
          <t>A</t>
        </is>
      </c>
      <c r="S28" s="132" t="inlineStr">
        <is>
          <t>A</t>
        </is>
      </c>
      <c r="T28" s="133" t="inlineStr">
        <is>
          <t>B</t>
        </is>
      </c>
      <c r="U28" s="134" t="n">
        <v>5</v>
      </c>
      <c r="V28" s="7" t="n"/>
      <c r="W28" s="7" t="n"/>
      <c r="X28" s="7" t="n"/>
      <c r="Y28" s="7" t="n"/>
      <c r="Z28" s="7" t="n"/>
    </row>
    <row r="29" ht="21.75" customHeight="1" s="363">
      <c r="A29" s="135" t="inlineStr">
        <is>
          <t>T2 — Amara</t>
        </is>
      </c>
      <c r="B29" s="136" t="inlineStr">
        <is>
          <t>Therapist</t>
        </is>
      </c>
      <c r="C29" s="126" t="inlineStr">
        <is>
          <t>OFF</t>
        </is>
      </c>
      <c r="D29" s="126" t="inlineStr">
        <is>
          <t>OFF</t>
        </is>
      </c>
      <c r="E29" s="127" t="inlineStr">
        <is>
          <t>A</t>
        </is>
      </c>
      <c r="F29" s="127" t="inlineStr">
        <is>
          <t>A</t>
        </is>
      </c>
      <c r="G29" s="127" t="inlineStr">
        <is>
          <t>A</t>
        </is>
      </c>
      <c r="H29" s="127" t="inlineStr">
        <is>
          <t>A</t>
        </is>
      </c>
      <c r="I29" s="137" t="inlineStr">
        <is>
          <t>B</t>
        </is>
      </c>
      <c r="J29" s="128" t="n">
        <v>5</v>
      </c>
      <c r="K29" s="129" t="n"/>
      <c r="L29" s="130" t="inlineStr">
        <is>
          <t>Isadora</t>
        </is>
      </c>
      <c r="M29" s="130" t="inlineStr">
        <is>
          <t>Therapist</t>
        </is>
      </c>
      <c r="N29" s="131" t="inlineStr">
        <is>
          <t>OFF</t>
        </is>
      </c>
      <c r="O29" s="131" t="inlineStr">
        <is>
          <t>OFF</t>
        </is>
      </c>
      <c r="P29" s="133" t="inlineStr">
        <is>
          <t>B</t>
        </is>
      </c>
      <c r="Q29" s="133" t="inlineStr">
        <is>
          <t>B</t>
        </is>
      </c>
      <c r="R29" s="133" t="inlineStr">
        <is>
          <t>B</t>
        </is>
      </c>
      <c r="S29" s="132" t="inlineStr">
        <is>
          <t>A</t>
        </is>
      </c>
      <c r="T29" s="132" t="inlineStr">
        <is>
          <t>A</t>
        </is>
      </c>
      <c r="U29" s="134" t="n">
        <v>5</v>
      </c>
      <c r="V29" s="7" t="n"/>
      <c r="W29" s="7" t="n"/>
      <c r="X29" s="7" t="n"/>
      <c r="Y29" s="7" t="n"/>
      <c r="Z29" s="7" t="n"/>
    </row>
    <row r="30" ht="21.75" customHeight="1" s="363">
      <c r="A30" s="124" t="inlineStr">
        <is>
          <t>T3 — Valentina</t>
        </is>
      </c>
      <c r="B30" s="125" t="inlineStr">
        <is>
          <t>Therapist</t>
        </is>
      </c>
      <c r="C30" s="126" t="inlineStr">
        <is>
          <t>OFF</t>
        </is>
      </c>
      <c r="D30" s="126" t="inlineStr">
        <is>
          <t>OFF</t>
        </is>
      </c>
      <c r="E30" s="137" t="inlineStr">
        <is>
          <t>B</t>
        </is>
      </c>
      <c r="F30" s="137" t="inlineStr">
        <is>
          <t>B</t>
        </is>
      </c>
      <c r="G30" s="137" t="inlineStr">
        <is>
          <t>B</t>
        </is>
      </c>
      <c r="H30" s="137" t="inlineStr">
        <is>
          <t>B</t>
        </is>
      </c>
      <c r="I30" s="127" t="inlineStr">
        <is>
          <t>A</t>
        </is>
      </c>
      <c r="J30" s="128" t="n">
        <v>5</v>
      </c>
      <c r="K30" s="129" t="n"/>
      <c r="L30" s="130" t="inlineStr">
        <is>
          <t>Carla</t>
        </is>
      </c>
      <c r="M30" s="130" t="inlineStr">
        <is>
          <t>Therapist</t>
        </is>
      </c>
      <c r="N30" s="131" t="inlineStr">
        <is>
          <t>OFF</t>
        </is>
      </c>
      <c r="O30" s="131" t="inlineStr">
        <is>
          <t>OFF</t>
        </is>
      </c>
      <c r="P30" s="132" t="inlineStr">
        <is>
          <t>A</t>
        </is>
      </c>
      <c r="Q30" s="132" t="inlineStr">
        <is>
          <t>A</t>
        </is>
      </c>
      <c r="R30" s="132" t="inlineStr">
        <is>
          <t>A</t>
        </is>
      </c>
      <c r="S30" s="132" t="inlineStr">
        <is>
          <t>A</t>
        </is>
      </c>
      <c r="T30" s="132" t="inlineStr">
        <is>
          <t>A</t>
        </is>
      </c>
      <c r="U30" s="134" t="n">
        <v>5</v>
      </c>
      <c r="V30" s="7" t="n"/>
      <c r="W30" s="7" t="n"/>
      <c r="X30" s="7" t="n"/>
      <c r="Y30" s="7" t="n"/>
      <c r="Z30" s="7" t="n"/>
    </row>
    <row r="31" ht="21.75" customHeight="1" s="363">
      <c r="A31" s="135" t="inlineStr">
        <is>
          <t>T4 — Hana</t>
        </is>
      </c>
      <c r="B31" s="136" t="inlineStr">
        <is>
          <t>Therapist</t>
        </is>
      </c>
      <c r="C31" s="127" t="inlineStr">
        <is>
          <t>A</t>
        </is>
      </c>
      <c r="D31" s="126" t="inlineStr">
        <is>
          <t>OFF</t>
        </is>
      </c>
      <c r="E31" s="126" t="inlineStr">
        <is>
          <t>OFF</t>
        </is>
      </c>
      <c r="F31" s="127" t="inlineStr">
        <is>
          <t>A</t>
        </is>
      </c>
      <c r="G31" s="127" t="inlineStr">
        <is>
          <t>A</t>
        </is>
      </c>
      <c r="H31" s="127" t="inlineStr">
        <is>
          <t>A</t>
        </is>
      </c>
      <c r="I31" s="127" t="inlineStr">
        <is>
          <t>A</t>
        </is>
      </c>
      <c r="J31" s="128" t="n">
        <v>5</v>
      </c>
      <c r="K31" s="129" t="n"/>
      <c r="L31" s="130" t="inlineStr">
        <is>
          <t>Linh</t>
        </is>
      </c>
      <c r="M31" s="130" t="inlineStr">
        <is>
          <t>Therapist</t>
        </is>
      </c>
      <c r="N31" s="132" t="inlineStr">
        <is>
          <t>A</t>
        </is>
      </c>
      <c r="O31" s="131" t="inlineStr">
        <is>
          <t>OFF</t>
        </is>
      </c>
      <c r="P31" s="131" t="inlineStr">
        <is>
          <t>OFF</t>
        </is>
      </c>
      <c r="Q31" s="132" t="inlineStr">
        <is>
          <t>A</t>
        </is>
      </c>
      <c r="R31" s="132" t="inlineStr">
        <is>
          <t>A</t>
        </is>
      </c>
      <c r="S31" s="132" t="inlineStr">
        <is>
          <t>A</t>
        </is>
      </c>
      <c r="T31" s="132" t="inlineStr">
        <is>
          <t>A</t>
        </is>
      </c>
      <c r="U31" s="134" t="n">
        <v>5</v>
      </c>
      <c r="V31" s="7" t="n"/>
      <c r="W31" s="7" t="n"/>
      <c r="X31" s="7" t="n"/>
      <c r="Y31" s="7" t="n"/>
      <c r="Z31" s="7" t="n"/>
    </row>
    <row r="32" ht="21.75" customHeight="1" s="363">
      <c r="A32" s="124" t="inlineStr">
        <is>
          <t>T5 — Renata</t>
        </is>
      </c>
      <c r="B32" s="125" t="inlineStr">
        <is>
          <t>Therapist</t>
        </is>
      </c>
      <c r="C32" s="127" t="inlineStr">
        <is>
          <t>A</t>
        </is>
      </c>
      <c r="D32" s="126" t="inlineStr">
        <is>
          <t>OFF</t>
        </is>
      </c>
      <c r="E32" s="126" t="inlineStr">
        <is>
          <t>OFF</t>
        </is>
      </c>
      <c r="F32" s="127" t="inlineStr">
        <is>
          <t>A</t>
        </is>
      </c>
      <c r="G32" s="127" t="inlineStr">
        <is>
          <t>A</t>
        </is>
      </c>
      <c r="H32" s="127" t="inlineStr">
        <is>
          <t>A</t>
        </is>
      </c>
      <c r="I32" s="137" t="inlineStr">
        <is>
          <t>B</t>
        </is>
      </c>
      <c r="J32" s="128" t="n">
        <v>5</v>
      </c>
      <c r="K32" s="129" t="n"/>
      <c r="L32" s="130" t="inlineStr">
        <is>
          <t>Rona</t>
        </is>
      </c>
      <c r="M32" s="130" t="inlineStr">
        <is>
          <t>Therapist</t>
        </is>
      </c>
      <c r="N32" s="133" t="inlineStr">
        <is>
          <t>B</t>
        </is>
      </c>
      <c r="O32" s="131" t="inlineStr">
        <is>
          <t>OFF</t>
        </is>
      </c>
      <c r="P32" s="131" t="inlineStr">
        <is>
          <t>OFF</t>
        </is>
      </c>
      <c r="Q32" s="133" t="inlineStr">
        <is>
          <t>B</t>
        </is>
      </c>
      <c r="R32" s="133" t="inlineStr">
        <is>
          <t>B</t>
        </is>
      </c>
      <c r="S32" s="132" t="inlineStr">
        <is>
          <t>A</t>
        </is>
      </c>
      <c r="T32" s="133" t="inlineStr">
        <is>
          <t>B</t>
        </is>
      </c>
      <c r="U32" s="134" t="n">
        <v>5</v>
      </c>
      <c r="V32" s="7" t="n"/>
      <c r="W32" s="7" t="n"/>
      <c r="X32" s="7" t="n"/>
      <c r="Y32" s="7" t="n"/>
      <c r="Z32" s="7" t="n"/>
    </row>
    <row r="33" ht="21.75" customHeight="1" s="363">
      <c r="A33" s="135" t="inlineStr">
        <is>
          <t>T6 — Zara</t>
        </is>
      </c>
      <c r="B33" s="136" t="inlineStr">
        <is>
          <t>Therapist</t>
        </is>
      </c>
      <c r="C33" s="137" t="inlineStr">
        <is>
          <t>B</t>
        </is>
      </c>
      <c r="D33" s="126" t="inlineStr">
        <is>
          <t>OFF</t>
        </is>
      </c>
      <c r="E33" s="126" t="inlineStr">
        <is>
          <t>OFF</t>
        </is>
      </c>
      <c r="F33" s="137" t="inlineStr">
        <is>
          <t>B</t>
        </is>
      </c>
      <c r="G33" s="137" t="inlineStr">
        <is>
          <t>B</t>
        </is>
      </c>
      <c r="H33" s="137" t="inlineStr">
        <is>
          <t>B</t>
        </is>
      </c>
      <c r="I33" s="127" t="inlineStr">
        <is>
          <t>A</t>
        </is>
      </c>
      <c r="J33" s="128" t="n">
        <v>5</v>
      </c>
      <c r="K33" s="129" t="n"/>
      <c r="L33" s="130" t="inlineStr">
        <is>
          <t>Tina</t>
        </is>
      </c>
      <c r="M33" s="130" t="inlineStr">
        <is>
          <t>Therapist</t>
        </is>
      </c>
      <c r="N33" s="132" t="inlineStr">
        <is>
          <t>A</t>
        </is>
      </c>
      <c r="O33" s="132" t="inlineStr">
        <is>
          <t>A</t>
        </is>
      </c>
      <c r="P33" s="131" t="inlineStr">
        <is>
          <t>OFF</t>
        </is>
      </c>
      <c r="Q33" s="131" t="inlineStr">
        <is>
          <t>OFF</t>
        </is>
      </c>
      <c r="R33" s="132" t="inlineStr">
        <is>
          <t>A</t>
        </is>
      </c>
      <c r="S33" s="132" t="inlineStr">
        <is>
          <t>A</t>
        </is>
      </c>
      <c r="T33" s="132" t="inlineStr">
        <is>
          <t>A</t>
        </is>
      </c>
      <c r="U33" s="134" t="n">
        <v>5</v>
      </c>
      <c r="V33" s="7" t="n"/>
      <c r="W33" s="7" t="n"/>
      <c r="X33" s="7" t="n"/>
      <c r="Y33" s="7" t="n"/>
      <c r="Z33" s="7" t="n"/>
    </row>
    <row r="34" ht="21.75" customHeight="1" s="363">
      <c r="A34" s="124" t="inlineStr">
        <is>
          <t>T7 — Fatima</t>
        </is>
      </c>
      <c r="B34" s="125" t="inlineStr">
        <is>
          <t>Therapist</t>
        </is>
      </c>
      <c r="C34" s="127" t="inlineStr">
        <is>
          <t>A</t>
        </is>
      </c>
      <c r="D34" s="127" t="inlineStr">
        <is>
          <t>A</t>
        </is>
      </c>
      <c r="E34" s="126" t="inlineStr">
        <is>
          <t>OFF</t>
        </is>
      </c>
      <c r="F34" s="126" t="inlineStr">
        <is>
          <t>OFF</t>
        </is>
      </c>
      <c r="G34" s="127" t="inlineStr">
        <is>
          <t>A</t>
        </is>
      </c>
      <c r="H34" s="127" t="inlineStr">
        <is>
          <t>A</t>
        </is>
      </c>
      <c r="I34" s="127" t="inlineStr">
        <is>
          <t>A</t>
        </is>
      </c>
      <c r="J34" s="128" t="n">
        <v>5</v>
      </c>
      <c r="K34" s="129" t="n"/>
      <c r="L34" s="130" t="inlineStr">
        <is>
          <t>Mei</t>
        </is>
      </c>
      <c r="M34" s="130" t="inlineStr">
        <is>
          <t>Therapist</t>
        </is>
      </c>
      <c r="N34" s="133" t="inlineStr">
        <is>
          <t>B</t>
        </is>
      </c>
      <c r="O34" s="133" t="inlineStr">
        <is>
          <t>B</t>
        </is>
      </c>
      <c r="P34" s="131" t="inlineStr">
        <is>
          <t>OFF</t>
        </is>
      </c>
      <c r="Q34" s="131" t="inlineStr">
        <is>
          <t>OFF</t>
        </is>
      </c>
      <c r="R34" s="133" t="inlineStr">
        <is>
          <t>B</t>
        </is>
      </c>
      <c r="S34" s="132" t="inlineStr">
        <is>
          <t>A</t>
        </is>
      </c>
      <c r="T34" s="133" t="inlineStr">
        <is>
          <t>B</t>
        </is>
      </c>
      <c r="U34" s="134" t="n">
        <v>5</v>
      </c>
      <c r="V34" s="7" t="n"/>
      <c r="W34" s="7" t="n"/>
      <c r="X34" s="7" t="n"/>
      <c r="Y34" s="7" t="n"/>
      <c r="Z34" s="7" t="n"/>
    </row>
    <row r="35" ht="21.75" customHeight="1" s="363">
      <c r="A35" s="135" t="inlineStr">
        <is>
          <t>T8 — Ingrid</t>
        </is>
      </c>
      <c r="B35" s="136" t="inlineStr">
        <is>
          <t>Therapist</t>
        </is>
      </c>
      <c r="C35" s="127" t="inlineStr">
        <is>
          <t>A</t>
        </is>
      </c>
      <c r="D35" s="127" t="inlineStr">
        <is>
          <t>A</t>
        </is>
      </c>
      <c r="E35" s="126" t="inlineStr">
        <is>
          <t>OFF</t>
        </is>
      </c>
      <c r="F35" s="126" t="inlineStr">
        <is>
          <t>OFF</t>
        </is>
      </c>
      <c r="G35" s="127" t="inlineStr">
        <is>
          <t>A</t>
        </is>
      </c>
      <c r="H35" s="127" t="inlineStr">
        <is>
          <t>A</t>
        </is>
      </c>
      <c r="I35" s="137" t="inlineStr">
        <is>
          <t>B</t>
        </is>
      </c>
      <c r="J35" s="128" t="n">
        <v>5</v>
      </c>
      <c r="K35" s="129" t="n"/>
      <c r="L35" s="130" t="inlineStr">
        <is>
          <t>Alana</t>
        </is>
      </c>
      <c r="M35" s="130" t="inlineStr">
        <is>
          <t>Advisor</t>
        </is>
      </c>
      <c r="N35" s="131" t="inlineStr">
        <is>
          <t>OFF</t>
        </is>
      </c>
      <c r="O35" s="132" t="inlineStr">
        <is>
          <t>A</t>
        </is>
      </c>
      <c r="P35" s="132" t="inlineStr">
        <is>
          <t>A</t>
        </is>
      </c>
      <c r="Q35" s="132" t="inlineStr">
        <is>
          <t>A</t>
        </is>
      </c>
      <c r="R35" s="132" t="inlineStr">
        <is>
          <t>A</t>
        </is>
      </c>
      <c r="S35" s="132" t="inlineStr">
        <is>
          <t>A</t>
        </is>
      </c>
      <c r="T35" s="131" t="inlineStr">
        <is>
          <t>OFF</t>
        </is>
      </c>
      <c r="U35" s="134" t="n">
        <v>5</v>
      </c>
      <c r="V35" s="7" t="n"/>
      <c r="W35" s="7" t="n"/>
      <c r="X35" s="7" t="n"/>
      <c r="Y35" s="7" t="n"/>
      <c r="Z35" s="7" t="n"/>
    </row>
    <row r="36" ht="21.75" customHeight="1" s="363">
      <c r="A36" s="124" t="inlineStr">
        <is>
          <t>T9 — Celine</t>
        </is>
      </c>
      <c r="B36" s="125" t="inlineStr">
        <is>
          <t>Therapist</t>
        </is>
      </c>
      <c r="C36" s="137" t="inlineStr">
        <is>
          <t>B</t>
        </is>
      </c>
      <c r="D36" s="137" t="inlineStr">
        <is>
          <t>B</t>
        </is>
      </c>
      <c r="E36" s="126" t="inlineStr">
        <is>
          <t>OFF</t>
        </is>
      </c>
      <c r="F36" s="126" t="inlineStr">
        <is>
          <t>OFF</t>
        </is>
      </c>
      <c r="G36" s="137" t="inlineStr">
        <is>
          <t>B</t>
        </is>
      </c>
      <c r="H36" s="137" t="inlineStr">
        <is>
          <t>B</t>
        </is>
      </c>
      <c r="I36" s="127" t="inlineStr">
        <is>
          <t>A</t>
        </is>
      </c>
      <c r="J36" s="128" t="n">
        <v>5</v>
      </c>
      <c r="K36" s="129" t="n"/>
      <c r="L36" s="130" t="inlineStr">
        <is>
          <t>Anja</t>
        </is>
      </c>
      <c r="M36" s="130" t="inlineStr">
        <is>
          <t>Advisor</t>
        </is>
      </c>
      <c r="N36" s="132" t="inlineStr">
        <is>
          <t>A</t>
        </is>
      </c>
      <c r="O36" s="132" t="inlineStr">
        <is>
          <t>A</t>
        </is>
      </c>
      <c r="P36" s="131" t="inlineStr">
        <is>
          <t>OFF</t>
        </is>
      </c>
      <c r="Q36" s="132" t="inlineStr">
        <is>
          <t>A</t>
        </is>
      </c>
      <c r="R36" s="132" t="inlineStr">
        <is>
          <t>A</t>
        </is>
      </c>
      <c r="S36" s="132" t="inlineStr">
        <is>
          <t>A</t>
        </is>
      </c>
      <c r="T36" s="131" t="inlineStr">
        <is>
          <t>OFF</t>
        </is>
      </c>
      <c r="U36" s="134" t="n">
        <v>5</v>
      </c>
      <c r="V36" s="7" t="n"/>
      <c r="W36" s="7" t="n"/>
      <c r="X36" s="7" t="n"/>
      <c r="Y36" s="7" t="n"/>
      <c r="Z36" s="7" t="n"/>
    </row>
    <row r="37" ht="21.75" customHeight="1" s="363">
      <c r="A37" s="135" t="inlineStr">
        <is>
          <t>R1 — Miriam</t>
        </is>
      </c>
      <c r="B37" s="136" t="inlineStr">
        <is>
          <t>Receptionist</t>
        </is>
      </c>
      <c r="C37" s="126" t="inlineStr">
        <is>
          <t>OFF</t>
        </is>
      </c>
      <c r="D37" s="126" t="inlineStr">
        <is>
          <t>OFF</t>
        </is>
      </c>
      <c r="E37" s="127" t="inlineStr">
        <is>
          <t>A</t>
        </is>
      </c>
      <c r="F37" s="127" t="inlineStr">
        <is>
          <t>A</t>
        </is>
      </c>
      <c r="G37" s="127" t="inlineStr">
        <is>
          <t>A</t>
        </is>
      </c>
      <c r="H37" s="127" t="inlineStr">
        <is>
          <t>A</t>
        </is>
      </c>
      <c r="I37" s="127" t="inlineStr">
        <is>
          <t>A</t>
        </is>
      </c>
      <c r="J37" s="128" t="n">
        <v>5</v>
      </c>
      <c r="K37" s="129" t="n"/>
      <c r="L37" s="130" t="inlineStr">
        <is>
          <t>Jean</t>
        </is>
      </c>
      <c r="M37" s="130" t="inlineStr">
        <is>
          <t>Advisor (PT)</t>
        </is>
      </c>
      <c r="N37" s="131" t="inlineStr">
        <is>
          <t>OFF</t>
        </is>
      </c>
      <c r="O37" s="131" t="inlineStr">
        <is>
          <t>OFF</t>
        </is>
      </c>
      <c r="P37" s="131" t="inlineStr">
        <is>
          <t>OFF</t>
        </is>
      </c>
      <c r="Q37" s="131" t="inlineStr">
        <is>
          <t>OFF</t>
        </is>
      </c>
      <c r="R37" s="132" t="inlineStr">
        <is>
          <t>A</t>
        </is>
      </c>
      <c r="S37" s="132" t="inlineStr">
        <is>
          <t>A</t>
        </is>
      </c>
      <c r="T37" s="132" t="inlineStr">
        <is>
          <t>A</t>
        </is>
      </c>
      <c r="U37" s="134" t="n">
        <v>3</v>
      </c>
      <c r="V37" s="7" t="n"/>
      <c r="W37" s="7" t="n"/>
      <c r="X37" s="7" t="n"/>
      <c r="Y37" s="7" t="n"/>
      <c r="Z37" s="7" t="n"/>
    </row>
    <row r="38" ht="21.75" customHeight="1" s="363">
      <c r="A38" s="124" t="inlineStr">
        <is>
          <t>R2 — Dina</t>
        </is>
      </c>
      <c r="B38" s="125" t="inlineStr">
        <is>
          <t>Receptionist</t>
        </is>
      </c>
      <c r="C38" s="127" t="inlineStr">
        <is>
          <t>A</t>
        </is>
      </c>
      <c r="D38" s="127" t="inlineStr">
        <is>
          <t>A</t>
        </is>
      </c>
      <c r="E38" s="126" t="inlineStr">
        <is>
          <t>OFF</t>
        </is>
      </c>
      <c r="F38" s="126" t="inlineStr">
        <is>
          <t>OFF</t>
        </is>
      </c>
      <c r="G38" s="127" t="inlineStr">
        <is>
          <t>A</t>
        </is>
      </c>
      <c r="H38" s="127" t="inlineStr">
        <is>
          <t>A</t>
        </is>
      </c>
      <c r="I38" s="127" t="inlineStr">
        <is>
          <t>A</t>
        </is>
      </c>
      <c r="J38" s="128" t="n">
        <v>5</v>
      </c>
      <c r="K38" s="129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21.75" customHeight="1" s="363">
      <c r="A39" s="135" t="inlineStr">
        <is>
          <t>RM1 — Jordan</t>
        </is>
      </c>
      <c r="B39" s="136" t="inlineStr">
        <is>
          <t>Reg. Manager</t>
        </is>
      </c>
      <c r="C39" s="126" t="inlineStr">
        <is>
          <t>OFF</t>
        </is>
      </c>
      <c r="D39" s="138" t="inlineStr">
        <is>
          <t>—</t>
        </is>
      </c>
      <c r="E39" s="138" t="inlineStr">
        <is>
          <t>—</t>
        </is>
      </c>
      <c r="F39" s="127" t="inlineStr">
        <is>
          <t>A</t>
        </is>
      </c>
      <c r="G39" s="127" t="inlineStr">
        <is>
          <t>A</t>
        </is>
      </c>
      <c r="H39" s="127" t="inlineStr">
        <is>
          <t>A</t>
        </is>
      </c>
      <c r="I39" s="126" t="inlineStr">
        <is>
          <t>OFF</t>
        </is>
      </c>
      <c r="J39" s="128" t="n">
        <v>3</v>
      </c>
      <c r="K39" s="129" t="n"/>
      <c r="L39" s="130" t="inlineStr">
        <is>
          <t>Neli</t>
        </is>
      </c>
      <c r="M39" s="130" t="inlineStr">
        <is>
          <t>Supervisor</t>
        </is>
      </c>
      <c r="N39" s="131" t="inlineStr">
        <is>
          <t>OFF</t>
        </is>
      </c>
      <c r="O39" s="132" t="inlineStr">
        <is>
          <t>A</t>
        </is>
      </c>
      <c r="P39" s="132" t="inlineStr">
        <is>
          <t>A</t>
        </is>
      </c>
      <c r="Q39" s="132" t="inlineStr">
        <is>
          <t>A</t>
        </is>
      </c>
      <c r="R39" s="132" t="inlineStr">
        <is>
          <t>A</t>
        </is>
      </c>
      <c r="S39" s="132" t="inlineStr">
        <is>
          <t>A</t>
        </is>
      </c>
      <c r="T39" s="131" t="inlineStr">
        <is>
          <t>OFF</t>
        </is>
      </c>
      <c r="U39" s="134" t="n">
        <v>5</v>
      </c>
      <c r="V39" s="7" t="n"/>
      <c r="W39" s="7" t="n"/>
      <c r="X39" s="7" t="n"/>
      <c r="Y39" s="7" t="n"/>
      <c r="Z39" s="7" t="n"/>
    </row>
    <row r="40" ht="7.5" customHeight="1" s="363">
      <c r="A40" s="57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9.5" customHeight="1" s="363">
      <c r="A41" s="411" t="inlineStr">
        <is>
          <t>Therapists on floor (min 2):</t>
        </is>
      </c>
      <c r="B41" s="399" t="n"/>
      <c r="C41" s="140" t="inlineStr">
        <is>
          <t>✓ 6</t>
        </is>
      </c>
      <c r="D41" s="140" t="inlineStr">
        <is>
          <t>✓ 3</t>
        </is>
      </c>
      <c r="E41" s="140" t="inlineStr">
        <is>
          <t>✓ 3</t>
        </is>
      </c>
      <c r="F41" s="140" t="inlineStr">
        <is>
          <t>✓ 6</t>
        </is>
      </c>
      <c r="G41" s="140" t="inlineStr">
        <is>
          <t>✓ 9</t>
        </is>
      </c>
      <c r="H41" s="140" t="inlineStr">
        <is>
          <t>✓ 9</t>
        </is>
      </c>
      <c r="I41" s="140" t="inlineStr">
        <is>
          <t>✓ 9</t>
        </is>
      </c>
      <c r="J41" s="5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9.5" customHeight="1" s="363">
      <c r="A42" s="411" t="inlineStr">
        <is>
          <t>Reception covered (min 1):</t>
        </is>
      </c>
      <c r="B42" s="399" t="n"/>
      <c r="C42" s="140" t="inlineStr">
        <is>
          <t>✓ 1</t>
        </is>
      </c>
      <c r="D42" s="140" t="inlineStr">
        <is>
          <t>✓ 1</t>
        </is>
      </c>
      <c r="E42" s="140" t="inlineStr">
        <is>
          <t>✓ 1</t>
        </is>
      </c>
      <c r="F42" s="140" t="inlineStr">
        <is>
          <t>✓ 1</t>
        </is>
      </c>
      <c r="G42" s="140" t="inlineStr">
        <is>
          <t>✓ 2</t>
        </is>
      </c>
      <c r="H42" s="140" t="inlineStr">
        <is>
          <t>✓ 2</t>
        </is>
      </c>
      <c r="I42" s="140" t="inlineStr">
        <is>
          <t>✓ 2</t>
        </is>
      </c>
      <c r="J42" s="5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9.5" customHeight="1" s="363">
      <c r="A43" s="411" t="inlineStr">
        <is>
          <t>Double shift coverage (A+B):</t>
        </is>
      </c>
      <c r="B43" s="399" t="n"/>
      <c r="C43" s="140" t="inlineStr">
        <is>
          <t>A+B ✓</t>
        </is>
      </c>
      <c r="D43" s="140" t="inlineStr">
        <is>
          <t>A+B ✓</t>
        </is>
      </c>
      <c r="E43" s="140" t="inlineStr">
        <is>
          <t>A+B ✓</t>
        </is>
      </c>
      <c r="F43" s="140" t="inlineStr">
        <is>
          <t>A+B ✓</t>
        </is>
      </c>
      <c r="G43" s="140" t="inlineStr">
        <is>
          <t>A+B ✓</t>
        </is>
      </c>
      <c r="H43" s="140" t="inlineStr">
        <is>
          <t>A+B ✓</t>
        </is>
      </c>
      <c r="I43" s="140" t="inlineStr">
        <is>
          <t>A+B ✓</t>
        </is>
      </c>
      <c r="J43" s="5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363">
      <c r="A44" s="57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27.75" customHeight="1" s="363">
      <c r="A45" s="410" t="inlineStr">
        <is>
          <t>ROSTER 3 — RAMLA  (Tier 2 | Lean 35% HC | 5T + 2R + 0.5S)</t>
        </is>
      </c>
      <c r="B45" s="398" t="n"/>
      <c r="C45" s="398" t="n"/>
      <c r="D45" s="398" t="n"/>
      <c r="E45" s="398" t="n"/>
      <c r="F45" s="398" t="n"/>
      <c r="G45" s="398" t="n"/>
      <c r="H45" s="398" t="n"/>
      <c r="I45" s="398" t="n"/>
      <c r="J45" s="399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363">
      <c r="A46" s="404" t="inlineStr">
        <is>
          <t>2025 Revenue: €29,886/mo (ex-VAT)  |  HC Budget (35%): €10,460  |  Base Cost: €11,150  |  All 5T work Fri/Sat/Sun | A+B on all days</t>
        </is>
      </c>
      <c r="B46" s="398" t="n"/>
      <c r="C46" s="398" t="n"/>
      <c r="D46" s="398" t="n"/>
      <c r="E46" s="398" t="n"/>
      <c r="F46" s="398" t="n"/>
      <c r="G46" s="398" t="n"/>
      <c r="H46" s="398" t="n"/>
      <c r="I46" s="398" t="n"/>
      <c r="J46" s="399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21.75" customHeight="1" s="363">
      <c r="A47" s="120" t="inlineStr">
        <is>
          <t>STAFF</t>
        </is>
      </c>
      <c r="B47" s="120" t="inlineStr">
        <is>
          <t>ROLE</t>
        </is>
      </c>
      <c r="C47" s="120" t="inlineStr">
        <is>
          <t>MON</t>
        </is>
      </c>
      <c r="D47" s="120" t="inlineStr">
        <is>
          <t>TUE</t>
        </is>
      </c>
      <c r="E47" s="120" t="inlineStr">
        <is>
          <t>WED</t>
        </is>
      </c>
      <c r="F47" s="120" t="inlineStr">
        <is>
          <t>THU</t>
        </is>
      </c>
      <c r="G47" s="121" t="inlineStr">
        <is>
          <t>FRI ★</t>
        </is>
      </c>
      <c r="H47" s="121" t="inlineStr">
        <is>
          <t>SAT ★</t>
        </is>
      </c>
      <c r="I47" s="121" t="inlineStr">
        <is>
          <t>SUN ★</t>
        </is>
      </c>
      <c r="J47" s="120" t="inlineStr">
        <is>
          <t>DAYS ON</t>
        </is>
      </c>
      <c r="K47" s="122" t="inlineStr">
        <is>
          <t>║ ACTUALS (APR 2026)</t>
        </is>
      </c>
      <c r="L47" s="123" t="inlineStr">
        <is>
          <t>STAFF (ACTUAL)</t>
        </is>
      </c>
      <c r="M47" s="123" t="inlineStr">
        <is>
          <t>ROLE</t>
        </is>
      </c>
      <c r="N47" s="123" t="inlineStr">
        <is>
          <t>MON</t>
        </is>
      </c>
      <c r="O47" s="123" t="inlineStr">
        <is>
          <t>TUE</t>
        </is>
      </c>
      <c r="P47" s="123" t="inlineStr">
        <is>
          <t>WED</t>
        </is>
      </c>
      <c r="Q47" s="123" t="inlineStr">
        <is>
          <t>THU</t>
        </is>
      </c>
      <c r="R47" s="123" t="inlineStr">
        <is>
          <t>FRI ★</t>
        </is>
      </c>
      <c r="S47" s="123" t="inlineStr">
        <is>
          <t>SAT ★</t>
        </is>
      </c>
      <c r="T47" s="123" t="inlineStr">
        <is>
          <t>SUN ★</t>
        </is>
      </c>
      <c r="U47" s="123" t="inlineStr">
        <is>
          <t>DAYS ON</t>
        </is>
      </c>
      <c r="V47" s="7" t="n"/>
      <c r="W47" s="7" t="n"/>
      <c r="X47" s="7" t="n"/>
      <c r="Y47" s="7" t="n"/>
      <c r="Z47" s="7" t="n"/>
    </row>
    <row r="48" ht="21.75" customHeight="1" s="363">
      <c r="A48" s="124" t="inlineStr">
        <is>
          <t>T1 — Maria</t>
        </is>
      </c>
      <c r="B48" s="125" t="inlineStr">
        <is>
          <t>Therapist</t>
        </is>
      </c>
      <c r="C48" s="126" t="inlineStr">
        <is>
          <t>OFF</t>
        </is>
      </c>
      <c r="D48" s="126" t="inlineStr">
        <is>
          <t>OFF</t>
        </is>
      </c>
      <c r="E48" s="127" t="inlineStr">
        <is>
          <t>A</t>
        </is>
      </c>
      <c r="F48" s="127" t="inlineStr">
        <is>
          <t>A</t>
        </is>
      </c>
      <c r="G48" s="127" t="inlineStr">
        <is>
          <t>A</t>
        </is>
      </c>
      <c r="H48" s="127" t="inlineStr">
        <is>
          <t>A</t>
        </is>
      </c>
      <c r="I48" s="127" t="inlineStr">
        <is>
          <t>A</t>
        </is>
      </c>
      <c r="J48" s="128" t="n">
        <v>5</v>
      </c>
      <c r="K48" s="129" t="n"/>
      <c r="L48" s="130" t="inlineStr">
        <is>
          <t>Preet</t>
        </is>
      </c>
      <c r="M48" s="130" t="inlineStr">
        <is>
          <t>Therapist</t>
        </is>
      </c>
      <c r="N48" s="131" t="inlineStr">
        <is>
          <t>OFF</t>
        </is>
      </c>
      <c r="O48" s="131" t="inlineStr">
        <is>
          <t>OFF</t>
        </is>
      </c>
      <c r="P48" s="132" t="inlineStr">
        <is>
          <t>A</t>
        </is>
      </c>
      <c r="Q48" s="132" t="inlineStr">
        <is>
          <t>A</t>
        </is>
      </c>
      <c r="R48" s="132" t="inlineStr">
        <is>
          <t>A</t>
        </is>
      </c>
      <c r="S48" s="132" t="inlineStr">
        <is>
          <t>A</t>
        </is>
      </c>
      <c r="T48" s="133" t="inlineStr">
        <is>
          <t>B</t>
        </is>
      </c>
      <c r="U48" s="134" t="n">
        <v>5</v>
      </c>
      <c r="V48" s="7" t="n"/>
      <c r="W48" s="7" t="n"/>
      <c r="X48" s="7" t="n"/>
      <c r="Y48" s="7" t="n"/>
      <c r="Z48" s="7" t="n"/>
    </row>
    <row r="49" ht="21.75" customHeight="1" s="363">
      <c r="A49" s="135" t="inlineStr">
        <is>
          <t>T2 — Sofia</t>
        </is>
      </c>
      <c r="B49" s="136" t="inlineStr">
        <is>
          <t>Therapist</t>
        </is>
      </c>
      <c r="C49" s="126" t="inlineStr">
        <is>
          <t>OFF</t>
        </is>
      </c>
      <c r="D49" s="126" t="inlineStr">
        <is>
          <t>OFF</t>
        </is>
      </c>
      <c r="E49" s="137" t="inlineStr">
        <is>
          <t>B</t>
        </is>
      </c>
      <c r="F49" s="137" t="inlineStr">
        <is>
          <t>B</t>
        </is>
      </c>
      <c r="G49" s="137" t="inlineStr">
        <is>
          <t>B</t>
        </is>
      </c>
      <c r="H49" s="127" t="inlineStr">
        <is>
          <t>A</t>
        </is>
      </c>
      <c r="I49" s="137" t="inlineStr">
        <is>
          <t>B</t>
        </is>
      </c>
      <c r="J49" s="128" t="n">
        <v>5</v>
      </c>
      <c r="K49" s="129" t="n"/>
      <c r="L49" s="130" t="inlineStr">
        <is>
          <t>Yua</t>
        </is>
      </c>
      <c r="M49" s="130" t="inlineStr">
        <is>
          <t>Therapist</t>
        </is>
      </c>
      <c r="N49" s="131" t="inlineStr">
        <is>
          <t>OFF</t>
        </is>
      </c>
      <c r="O49" s="131" t="inlineStr">
        <is>
          <t>OFF</t>
        </is>
      </c>
      <c r="P49" s="133" t="inlineStr">
        <is>
          <t>B</t>
        </is>
      </c>
      <c r="Q49" s="133" t="inlineStr">
        <is>
          <t>B</t>
        </is>
      </c>
      <c r="R49" s="133" t="inlineStr">
        <is>
          <t>B</t>
        </is>
      </c>
      <c r="S49" s="132" t="inlineStr">
        <is>
          <t>A</t>
        </is>
      </c>
      <c r="T49" s="132" t="inlineStr">
        <is>
          <t>A</t>
        </is>
      </c>
      <c r="U49" s="134" t="n">
        <v>5</v>
      </c>
      <c r="V49" s="7" t="n"/>
      <c r="W49" s="7" t="n"/>
      <c r="X49" s="7" t="n"/>
      <c r="Y49" s="7" t="n"/>
      <c r="Z49" s="7" t="n"/>
    </row>
    <row r="50" ht="21.75" customHeight="1" s="363">
      <c r="A50" s="124" t="inlineStr">
        <is>
          <t>T3 — Elena</t>
        </is>
      </c>
      <c r="B50" s="125" t="inlineStr">
        <is>
          <t>Therapist</t>
        </is>
      </c>
      <c r="C50" s="127" t="inlineStr">
        <is>
          <t>A</t>
        </is>
      </c>
      <c r="D50" s="126" t="inlineStr">
        <is>
          <t>OFF</t>
        </is>
      </c>
      <c r="E50" s="126" t="inlineStr">
        <is>
          <t>OFF</t>
        </is>
      </c>
      <c r="F50" s="127" t="inlineStr">
        <is>
          <t>A</t>
        </is>
      </c>
      <c r="G50" s="127" t="inlineStr">
        <is>
          <t>A</t>
        </is>
      </c>
      <c r="H50" s="127" t="inlineStr">
        <is>
          <t>A</t>
        </is>
      </c>
      <c r="I50" s="127" t="inlineStr">
        <is>
          <t>A</t>
        </is>
      </c>
      <c r="J50" s="128" t="n">
        <v>5</v>
      </c>
      <c r="K50" s="129" t="n"/>
      <c r="L50" s="130" t="inlineStr">
        <is>
          <t>Lena</t>
        </is>
      </c>
      <c r="M50" s="130" t="inlineStr">
        <is>
          <t>Therapist</t>
        </is>
      </c>
      <c r="N50" s="132" t="inlineStr">
        <is>
          <t>A</t>
        </is>
      </c>
      <c r="O50" s="131" t="inlineStr">
        <is>
          <t>OFF</t>
        </is>
      </c>
      <c r="P50" s="131" t="inlineStr">
        <is>
          <t>OFF</t>
        </is>
      </c>
      <c r="Q50" s="132" t="inlineStr">
        <is>
          <t>A</t>
        </is>
      </c>
      <c r="R50" s="132" t="inlineStr">
        <is>
          <t>A</t>
        </is>
      </c>
      <c r="S50" s="132" t="inlineStr">
        <is>
          <t>A</t>
        </is>
      </c>
      <c r="T50" s="132" t="inlineStr">
        <is>
          <t>A</t>
        </is>
      </c>
      <c r="U50" s="134" t="n">
        <v>5</v>
      </c>
      <c r="V50" s="7" t="n"/>
      <c r="W50" s="7" t="n"/>
      <c r="X50" s="7" t="n"/>
      <c r="Y50" s="7" t="n"/>
      <c r="Z50" s="7" t="n"/>
    </row>
    <row r="51" ht="21.75" customHeight="1" s="363">
      <c r="A51" s="135" t="inlineStr">
        <is>
          <t>T4 — Isabelle</t>
        </is>
      </c>
      <c r="B51" s="136" t="inlineStr">
        <is>
          <t>Therapist</t>
        </is>
      </c>
      <c r="C51" s="137" t="inlineStr">
        <is>
          <t>B</t>
        </is>
      </c>
      <c r="D51" s="127" t="inlineStr">
        <is>
          <t>A</t>
        </is>
      </c>
      <c r="E51" s="126" t="inlineStr">
        <is>
          <t>OFF</t>
        </is>
      </c>
      <c r="F51" s="126" t="inlineStr">
        <is>
          <t>OFF</t>
        </is>
      </c>
      <c r="G51" s="137" t="inlineStr">
        <is>
          <t>B</t>
        </is>
      </c>
      <c r="H51" s="127" t="inlineStr">
        <is>
          <t>A</t>
        </is>
      </c>
      <c r="I51" s="137" t="inlineStr">
        <is>
          <t>B</t>
        </is>
      </c>
      <c r="J51" s="128" t="n">
        <v>5</v>
      </c>
      <c r="K51" s="129" t="n"/>
      <c r="L51" s="130" t="inlineStr">
        <is>
          <t>Dana</t>
        </is>
      </c>
      <c r="M51" s="130" t="inlineStr">
        <is>
          <t>Therapist</t>
        </is>
      </c>
      <c r="N51" s="133" t="inlineStr">
        <is>
          <t>B</t>
        </is>
      </c>
      <c r="O51" s="131" t="inlineStr">
        <is>
          <t>OFF</t>
        </is>
      </c>
      <c r="P51" s="131" t="inlineStr">
        <is>
          <t>OFF</t>
        </is>
      </c>
      <c r="Q51" s="133" t="inlineStr">
        <is>
          <t>B</t>
        </is>
      </c>
      <c r="R51" s="133" t="inlineStr">
        <is>
          <t>B</t>
        </is>
      </c>
      <c r="S51" s="132" t="inlineStr">
        <is>
          <t>A</t>
        </is>
      </c>
      <c r="T51" s="133" t="inlineStr">
        <is>
          <t>B</t>
        </is>
      </c>
      <c r="U51" s="134" t="n">
        <v>5</v>
      </c>
      <c r="V51" s="7" t="n"/>
      <c r="W51" s="7" t="n"/>
      <c r="X51" s="7" t="n"/>
      <c r="Y51" s="7" t="n"/>
      <c r="Z51" s="7" t="n"/>
    </row>
    <row r="52" ht="21.75" customHeight="1" s="363">
      <c r="A52" s="124" t="inlineStr">
        <is>
          <t>T5 — Natalia</t>
        </is>
      </c>
      <c r="B52" s="125" t="inlineStr">
        <is>
          <t>Therapist</t>
        </is>
      </c>
      <c r="C52" s="127" t="inlineStr">
        <is>
          <t>A</t>
        </is>
      </c>
      <c r="D52" s="137" t="inlineStr">
        <is>
          <t>B</t>
        </is>
      </c>
      <c r="E52" s="126" t="inlineStr">
        <is>
          <t>OFF</t>
        </is>
      </c>
      <c r="F52" s="126" t="inlineStr">
        <is>
          <t>OFF</t>
        </is>
      </c>
      <c r="G52" s="127" t="inlineStr">
        <is>
          <t>A</t>
        </is>
      </c>
      <c r="H52" s="137" t="inlineStr">
        <is>
          <t>B</t>
        </is>
      </c>
      <c r="I52" s="127" t="inlineStr">
        <is>
          <t>A</t>
        </is>
      </c>
      <c r="J52" s="128" t="n">
        <v>5</v>
      </c>
      <c r="K52" s="129" t="n"/>
      <c r="L52" s="130" t="inlineStr">
        <is>
          <t>Sara</t>
        </is>
      </c>
      <c r="M52" s="130" t="inlineStr">
        <is>
          <t>Therapist</t>
        </is>
      </c>
      <c r="N52" s="132" t="inlineStr">
        <is>
          <t>A</t>
        </is>
      </c>
      <c r="O52" s="132" t="inlineStr">
        <is>
          <t>A</t>
        </is>
      </c>
      <c r="P52" s="131" t="inlineStr">
        <is>
          <t>OFF</t>
        </is>
      </c>
      <c r="Q52" s="131" t="inlineStr">
        <is>
          <t>OFF</t>
        </is>
      </c>
      <c r="R52" s="132" t="inlineStr">
        <is>
          <t>A</t>
        </is>
      </c>
      <c r="S52" s="132" t="inlineStr">
        <is>
          <t>A</t>
        </is>
      </c>
      <c r="T52" s="132" t="inlineStr">
        <is>
          <t>A</t>
        </is>
      </c>
      <c r="U52" s="134" t="n">
        <v>5</v>
      </c>
      <c r="V52" s="7" t="n"/>
      <c r="W52" s="7" t="n"/>
      <c r="X52" s="7" t="n"/>
      <c r="Y52" s="7" t="n"/>
      <c r="Z52" s="7" t="n"/>
    </row>
    <row r="53" ht="21.75" customHeight="1" s="363">
      <c r="A53" s="135" t="inlineStr">
        <is>
          <t>R1 — Claire</t>
        </is>
      </c>
      <c r="B53" s="136" t="inlineStr">
        <is>
          <t>Receptionist</t>
        </is>
      </c>
      <c r="C53" s="126" t="inlineStr">
        <is>
          <t>OFF</t>
        </is>
      </c>
      <c r="D53" s="126" t="inlineStr">
        <is>
          <t>OFF</t>
        </is>
      </c>
      <c r="E53" s="127" t="inlineStr">
        <is>
          <t>A</t>
        </is>
      </c>
      <c r="F53" s="127" t="inlineStr">
        <is>
          <t>A</t>
        </is>
      </c>
      <c r="G53" s="127" t="inlineStr">
        <is>
          <t>A</t>
        </is>
      </c>
      <c r="H53" s="127" t="inlineStr">
        <is>
          <t>A</t>
        </is>
      </c>
      <c r="I53" s="127" t="inlineStr">
        <is>
          <t>A</t>
        </is>
      </c>
      <c r="J53" s="128" t="n">
        <v>5</v>
      </c>
      <c r="K53" s="129" t="n"/>
      <c r="L53" s="130" t="inlineStr">
        <is>
          <t>Bibi</t>
        </is>
      </c>
      <c r="M53" s="130" t="inlineStr">
        <is>
          <t>Therapist</t>
        </is>
      </c>
      <c r="N53" s="133" t="inlineStr">
        <is>
          <t>B</t>
        </is>
      </c>
      <c r="O53" s="133" t="inlineStr">
        <is>
          <t>B</t>
        </is>
      </c>
      <c r="P53" s="131" t="inlineStr">
        <is>
          <t>OFF</t>
        </is>
      </c>
      <c r="Q53" s="131" t="inlineStr">
        <is>
          <t>OFF</t>
        </is>
      </c>
      <c r="R53" s="133" t="inlineStr">
        <is>
          <t>B</t>
        </is>
      </c>
      <c r="S53" s="132" t="inlineStr">
        <is>
          <t>A</t>
        </is>
      </c>
      <c r="T53" s="133" t="inlineStr">
        <is>
          <t>B</t>
        </is>
      </c>
      <c r="U53" s="134" t="n">
        <v>5</v>
      </c>
      <c r="V53" s="7" t="n"/>
      <c r="W53" s="7" t="n"/>
      <c r="X53" s="7" t="n"/>
      <c r="Y53" s="7" t="n"/>
      <c r="Z53" s="7" t="n"/>
    </row>
    <row r="54" ht="21.75" customHeight="1" s="363">
      <c r="A54" s="124" t="inlineStr">
        <is>
          <t>R2 — Yasmine</t>
        </is>
      </c>
      <c r="B54" s="125" t="inlineStr">
        <is>
          <t>Receptionist</t>
        </is>
      </c>
      <c r="C54" s="127" t="inlineStr">
        <is>
          <t>A</t>
        </is>
      </c>
      <c r="D54" s="127" t="inlineStr">
        <is>
          <t>A</t>
        </is>
      </c>
      <c r="E54" s="126" t="inlineStr">
        <is>
          <t>OFF</t>
        </is>
      </c>
      <c r="F54" s="126" t="inlineStr">
        <is>
          <t>OFF</t>
        </is>
      </c>
      <c r="G54" s="127" t="inlineStr">
        <is>
          <t>A</t>
        </is>
      </c>
      <c r="H54" s="127" t="inlineStr">
        <is>
          <t>A</t>
        </is>
      </c>
      <c r="I54" s="127" t="inlineStr">
        <is>
          <t>A</t>
        </is>
      </c>
      <c r="J54" s="128" t="n">
        <v>5</v>
      </c>
      <c r="K54" s="129" t="n"/>
      <c r="L54" s="130" t="inlineStr">
        <is>
          <t>Nathalia</t>
        </is>
      </c>
      <c r="M54" s="130" t="inlineStr">
        <is>
          <t>Advisor</t>
        </is>
      </c>
      <c r="N54" s="132" t="inlineStr">
        <is>
          <t>A</t>
        </is>
      </c>
      <c r="O54" s="131" t="inlineStr">
        <is>
          <t>OFF</t>
        </is>
      </c>
      <c r="P54" s="132" t="inlineStr">
        <is>
          <t>A</t>
        </is>
      </c>
      <c r="Q54" s="132" t="inlineStr">
        <is>
          <t>A</t>
        </is>
      </c>
      <c r="R54" s="132" t="inlineStr">
        <is>
          <t>A</t>
        </is>
      </c>
      <c r="S54" s="132" t="inlineStr">
        <is>
          <t>A</t>
        </is>
      </c>
      <c r="T54" s="131" t="inlineStr">
        <is>
          <t>OFF</t>
        </is>
      </c>
      <c r="U54" s="134" t="n">
        <v>5</v>
      </c>
      <c r="V54" s="7" t="n"/>
      <c r="W54" s="7" t="n"/>
      <c r="X54" s="7" t="n"/>
      <c r="Y54" s="7" t="n"/>
      <c r="Z54" s="7" t="n"/>
    </row>
    <row r="55" ht="21.75" customHeight="1" s="363">
      <c r="A55" s="135" t="inlineStr">
        <is>
          <t>RM2 — Lucas</t>
        </is>
      </c>
      <c r="B55" s="136" t="inlineStr">
        <is>
          <t>Reg. Manager</t>
        </is>
      </c>
      <c r="C55" s="138" t="inlineStr">
        <is>
          <t>—</t>
        </is>
      </c>
      <c r="D55" s="138" t="inlineStr">
        <is>
          <t>—</t>
        </is>
      </c>
      <c r="E55" s="138" t="inlineStr">
        <is>
          <t>—</t>
        </is>
      </c>
      <c r="F55" s="138" t="inlineStr">
        <is>
          <t>—</t>
        </is>
      </c>
      <c r="G55" s="126" t="inlineStr">
        <is>
          <t>OFF</t>
        </is>
      </c>
      <c r="H55" s="127" t="inlineStr">
        <is>
          <t>A</t>
        </is>
      </c>
      <c r="I55" s="126" t="inlineStr">
        <is>
          <t>OFF</t>
        </is>
      </c>
      <c r="J55" s="128" t="n">
        <v>1</v>
      </c>
      <c r="K55" s="129" t="n"/>
      <c r="L55" s="130" t="inlineStr">
        <is>
          <t>Kristina</t>
        </is>
      </c>
      <c r="M55" s="130" t="inlineStr">
        <is>
          <t>Supervisor</t>
        </is>
      </c>
      <c r="N55" s="131" t="inlineStr">
        <is>
          <t>OFF</t>
        </is>
      </c>
      <c r="O55" s="132" t="inlineStr">
        <is>
          <t>A</t>
        </is>
      </c>
      <c r="P55" s="132" t="inlineStr">
        <is>
          <t>A</t>
        </is>
      </c>
      <c r="Q55" s="132" t="inlineStr">
        <is>
          <t>A</t>
        </is>
      </c>
      <c r="R55" s="132" t="inlineStr">
        <is>
          <t>A</t>
        </is>
      </c>
      <c r="S55" s="132" t="inlineStr">
        <is>
          <t>A</t>
        </is>
      </c>
      <c r="T55" s="131" t="inlineStr">
        <is>
          <t>OFF</t>
        </is>
      </c>
      <c r="U55" s="134" t="n">
        <v>5</v>
      </c>
      <c r="V55" s="7" t="n"/>
      <c r="W55" s="7" t="n"/>
      <c r="X55" s="7" t="n"/>
      <c r="Y55" s="7" t="n"/>
      <c r="Z55" s="7" t="n"/>
    </row>
    <row r="56" ht="7.5" customHeight="1" s="363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9.5" customHeight="1" s="363">
      <c r="A57" s="411" t="inlineStr">
        <is>
          <t>Therapists on floor (min 1):</t>
        </is>
      </c>
      <c r="B57" s="399" t="n"/>
      <c r="C57" s="140" t="inlineStr">
        <is>
          <t>✓ 3</t>
        </is>
      </c>
      <c r="D57" s="140" t="inlineStr">
        <is>
          <t>✓ 2</t>
        </is>
      </c>
      <c r="E57" s="140" t="inlineStr">
        <is>
          <t>✓ 2</t>
        </is>
      </c>
      <c r="F57" s="140" t="inlineStr">
        <is>
          <t>✓ 3</t>
        </is>
      </c>
      <c r="G57" s="140" t="inlineStr">
        <is>
          <t>✓ 5</t>
        </is>
      </c>
      <c r="H57" s="140" t="inlineStr">
        <is>
          <t>✓ 5</t>
        </is>
      </c>
      <c r="I57" s="140" t="inlineStr">
        <is>
          <t>✓ 5</t>
        </is>
      </c>
      <c r="J57" s="5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9.5" customHeight="1" s="363">
      <c r="A58" s="411" t="inlineStr">
        <is>
          <t>Reception covered (min 1):</t>
        </is>
      </c>
      <c r="B58" s="399" t="n"/>
      <c r="C58" s="140" t="inlineStr">
        <is>
          <t>✓ 1</t>
        </is>
      </c>
      <c r="D58" s="140" t="inlineStr">
        <is>
          <t>✓ 1</t>
        </is>
      </c>
      <c r="E58" s="140" t="inlineStr">
        <is>
          <t>✓ 1</t>
        </is>
      </c>
      <c r="F58" s="140" t="inlineStr">
        <is>
          <t>✓ 1</t>
        </is>
      </c>
      <c r="G58" s="140" t="inlineStr">
        <is>
          <t>✓ 2</t>
        </is>
      </c>
      <c r="H58" s="140" t="inlineStr">
        <is>
          <t>✓ 2</t>
        </is>
      </c>
      <c r="I58" s="140" t="inlineStr">
        <is>
          <t>✓ 2</t>
        </is>
      </c>
      <c r="J58" s="5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9.5" customHeight="1" s="363">
      <c r="A59" s="411" t="inlineStr">
        <is>
          <t>Double shift coverage (A+B):</t>
        </is>
      </c>
      <c r="B59" s="399" t="n"/>
      <c r="C59" s="140" t="inlineStr">
        <is>
          <t>A+B ✓</t>
        </is>
      </c>
      <c r="D59" s="140" t="inlineStr">
        <is>
          <t>A+B ✓</t>
        </is>
      </c>
      <c r="E59" s="140" t="inlineStr">
        <is>
          <t>A+B ✓</t>
        </is>
      </c>
      <c r="F59" s="140" t="inlineStr">
        <is>
          <t>A+B ✓</t>
        </is>
      </c>
      <c r="G59" s="140" t="inlineStr">
        <is>
          <t>A+B ✓</t>
        </is>
      </c>
      <c r="H59" s="140" t="inlineStr">
        <is>
          <t>A+B ✓</t>
        </is>
      </c>
      <c r="I59" s="140" t="inlineStr">
        <is>
          <t>A+B ✓</t>
        </is>
      </c>
      <c r="J59" s="5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57" t="n"/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27.75" customHeight="1" s="363">
      <c r="A61" s="410" t="inlineStr">
        <is>
          <t>ROSTER 4 — HYATT  (Tier 2 | 4T + 1R + 0.5S shared w/ Hugos)</t>
        </is>
      </c>
      <c r="B61" s="398" t="n"/>
      <c r="C61" s="398" t="n"/>
      <c r="D61" s="398" t="n"/>
      <c r="E61" s="398" t="n"/>
      <c r="F61" s="398" t="n"/>
      <c r="G61" s="398" t="n"/>
      <c r="H61" s="398" t="n"/>
      <c r="I61" s="398" t="n"/>
      <c r="J61" s="399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404" t="inlineStr">
        <is>
          <t>2025 Revenue: €25,358/mo (ex-VAT)  |  HC Budget (35%): €8,875  |  Base Cost: €8,250 (0.5S shared w/ Hugos)  |  Tier 2 upgrade | 2T every day | 4T peak days | Note: Tue/Wed no front desk</t>
        </is>
      </c>
      <c r="B62" s="398" t="n"/>
      <c r="C62" s="398" t="n"/>
      <c r="D62" s="398" t="n"/>
      <c r="E62" s="398" t="n"/>
      <c r="F62" s="398" t="n"/>
      <c r="G62" s="398" t="n"/>
      <c r="H62" s="398" t="n"/>
      <c r="I62" s="398" t="n"/>
      <c r="J62" s="399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21.75" customHeight="1" s="363">
      <c r="A63" s="120" t="inlineStr">
        <is>
          <t>STAFF</t>
        </is>
      </c>
      <c r="B63" s="120" t="inlineStr">
        <is>
          <t>ROLE</t>
        </is>
      </c>
      <c r="C63" s="120" t="inlineStr">
        <is>
          <t>MON</t>
        </is>
      </c>
      <c r="D63" s="120" t="inlineStr">
        <is>
          <t>TUE</t>
        </is>
      </c>
      <c r="E63" s="120" t="inlineStr">
        <is>
          <t>WED</t>
        </is>
      </c>
      <c r="F63" s="120" t="inlineStr">
        <is>
          <t>THU</t>
        </is>
      </c>
      <c r="G63" s="121" t="inlineStr">
        <is>
          <t>FRI ★</t>
        </is>
      </c>
      <c r="H63" s="121" t="inlineStr">
        <is>
          <t>SAT ★</t>
        </is>
      </c>
      <c r="I63" s="121" t="inlineStr">
        <is>
          <t>SUN ★</t>
        </is>
      </c>
      <c r="J63" s="120" t="inlineStr">
        <is>
          <t>DAYS ON</t>
        </is>
      </c>
      <c r="K63" s="122" t="inlineStr">
        <is>
          <t>║ ACTUALS (APR 2026)</t>
        </is>
      </c>
      <c r="L63" s="123" t="inlineStr">
        <is>
          <t>STAFF (ACTUAL)</t>
        </is>
      </c>
      <c r="M63" s="123" t="inlineStr">
        <is>
          <t>ROLE</t>
        </is>
      </c>
      <c r="N63" s="123" t="inlineStr">
        <is>
          <t>MON</t>
        </is>
      </c>
      <c r="O63" s="123" t="inlineStr">
        <is>
          <t>TUE</t>
        </is>
      </c>
      <c r="P63" s="123" t="inlineStr">
        <is>
          <t>WED</t>
        </is>
      </c>
      <c r="Q63" s="123" t="inlineStr">
        <is>
          <t>THU</t>
        </is>
      </c>
      <c r="R63" s="123" t="inlineStr">
        <is>
          <t>FRI ★</t>
        </is>
      </c>
      <c r="S63" s="123" t="inlineStr">
        <is>
          <t>SAT ★</t>
        </is>
      </c>
      <c r="T63" s="123" t="inlineStr">
        <is>
          <t>SUN ★</t>
        </is>
      </c>
      <c r="U63" s="123" t="inlineStr">
        <is>
          <t>DAYS ON</t>
        </is>
      </c>
      <c r="V63" s="7" t="n"/>
      <c r="W63" s="7" t="n"/>
      <c r="X63" s="7" t="n"/>
      <c r="Y63" s="7" t="n"/>
      <c r="Z63" s="7" t="n"/>
    </row>
    <row r="64" ht="21.75" customHeight="1" s="363">
      <c r="A64" s="124" t="inlineStr">
        <is>
          <t>T1 — Amara</t>
        </is>
      </c>
      <c r="B64" s="125" t="inlineStr">
        <is>
          <t>Therapist</t>
        </is>
      </c>
      <c r="C64" s="126" t="inlineStr">
        <is>
          <t>OFF</t>
        </is>
      </c>
      <c r="D64" s="126" t="inlineStr">
        <is>
          <t>OFF</t>
        </is>
      </c>
      <c r="E64" s="127" t="inlineStr">
        <is>
          <t>A</t>
        </is>
      </c>
      <c r="F64" s="127" t="inlineStr">
        <is>
          <t>A</t>
        </is>
      </c>
      <c r="G64" s="127" t="inlineStr">
        <is>
          <t>A</t>
        </is>
      </c>
      <c r="H64" s="127" t="inlineStr">
        <is>
          <t>A</t>
        </is>
      </c>
      <c r="I64" s="127" t="inlineStr">
        <is>
          <t>A</t>
        </is>
      </c>
      <c r="J64" s="128" t="n">
        <v>5</v>
      </c>
      <c r="K64" s="129" t="n"/>
      <c r="L64" s="130" t="inlineStr">
        <is>
          <t>Dita</t>
        </is>
      </c>
      <c r="M64" s="130" t="inlineStr">
        <is>
          <t>Therapist</t>
        </is>
      </c>
      <c r="N64" s="131" t="inlineStr">
        <is>
          <t>OFF</t>
        </is>
      </c>
      <c r="O64" s="131" t="inlineStr">
        <is>
          <t>OFF</t>
        </is>
      </c>
      <c r="P64" s="132" t="inlineStr">
        <is>
          <t>A</t>
        </is>
      </c>
      <c r="Q64" s="132" t="inlineStr">
        <is>
          <t>A</t>
        </is>
      </c>
      <c r="R64" s="132" t="inlineStr">
        <is>
          <t>A</t>
        </is>
      </c>
      <c r="S64" s="132" t="inlineStr">
        <is>
          <t>A</t>
        </is>
      </c>
      <c r="T64" s="133" t="inlineStr">
        <is>
          <t>B</t>
        </is>
      </c>
      <c r="U64" s="134" t="n">
        <v>5</v>
      </c>
      <c r="V64" s="7" t="n"/>
      <c r="W64" s="7" t="n"/>
      <c r="X64" s="7" t="n"/>
      <c r="Y64" s="7" t="n"/>
      <c r="Z64" s="7" t="n"/>
    </row>
    <row r="65" ht="21.75" customHeight="1" s="363">
      <c r="A65" s="135" t="inlineStr">
        <is>
          <t>T2 — Lucia</t>
        </is>
      </c>
      <c r="B65" s="136" t="inlineStr">
        <is>
          <t>Therapist</t>
        </is>
      </c>
      <c r="C65" s="126" t="inlineStr">
        <is>
          <t>OFF</t>
        </is>
      </c>
      <c r="D65" s="126" t="inlineStr">
        <is>
          <t>OFF</t>
        </is>
      </c>
      <c r="E65" s="137" t="inlineStr">
        <is>
          <t>B</t>
        </is>
      </c>
      <c r="F65" s="137" t="inlineStr">
        <is>
          <t>B</t>
        </is>
      </c>
      <c r="G65" s="137" t="inlineStr">
        <is>
          <t>B</t>
        </is>
      </c>
      <c r="H65" s="137" t="inlineStr">
        <is>
          <t>B</t>
        </is>
      </c>
      <c r="I65" s="137" t="inlineStr">
        <is>
          <t>B</t>
        </is>
      </c>
      <c r="J65" s="128" t="n">
        <v>5</v>
      </c>
      <c r="K65" s="129" t="n"/>
      <c r="L65" s="130" t="inlineStr">
        <is>
          <t>Ria</t>
        </is>
      </c>
      <c r="M65" s="130" t="inlineStr">
        <is>
          <t>Therapist</t>
        </is>
      </c>
      <c r="N65" s="131" t="inlineStr">
        <is>
          <t>OFF</t>
        </is>
      </c>
      <c r="O65" s="131" t="inlineStr">
        <is>
          <t>OFF</t>
        </is>
      </c>
      <c r="P65" s="133" t="inlineStr">
        <is>
          <t>B</t>
        </is>
      </c>
      <c r="Q65" s="133" t="inlineStr">
        <is>
          <t>B</t>
        </is>
      </c>
      <c r="R65" s="133" t="inlineStr">
        <is>
          <t>B</t>
        </is>
      </c>
      <c r="S65" s="132" t="inlineStr">
        <is>
          <t>A</t>
        </is>
      </c>
      <c r="T65" s="132" t="inlineStr">
        <is>
          <t>A</t>
        </is>
      </c>
      <c r="U65" s="134" t="n">
        <v>5</v>
      </c>
      <c r="V65" s="7" t="n"/>
      <c r="W65" s="7" t="n"/>
      <c r="X65" s="7" t="n"/>
      <c r="Y65" s="7" t="n"/>
      <c r="Z65" s="7" t="n"/>
    </row>
    <row r="66" ht="21.75" customHeight="1" s="363">
      <c r="A66" s="124" t="inlineStr">
        <is>
          <t>T3 — Priya</t>
        </is>
      </c>
      <c r="B66" s="125" t="inlineStr">
        <is>
          <t>Therapist</t>
        </is>
      </c>
      <c r="C66" s="127" t="inlineStr">
        <is>
          <t>A</t>
        </is>
      </c>
      <c r="D66" s="127" t="inlineStr">
        <is>
          <t>A</t>
        </is>
      </c>
      <c r="E66" s="126" t="inlineStr">
        <is>
          <t>OFF</t>
        </is>
      </c>
      <c r="F66" s="126" t="inlineStr">
        <is>
          <t>OFF</t>
        </is>
      </c>
      <c r="G66" s="127" t="inlineStr">
        <is>
          <t>A</t>
        </is>
      </c>
      <c r="H66" s="127" t="inlineStr">
        <is>
          <t>A</t>
        </is>
      </c>
      <c r="I66" s="127" t="inlineStr">
        <is>
          <t>A</t>
        </is>
      </c>
      <c r="J66" s="128" t="n">
        <v>5</v>
      </c>
      <c r="K66" s="129" t="n"/>
      <c r="L66" s="130" t="inlineStr">
        <is>
          <t>Hina</t>
        </is>
      </c>
      <c r="M66" s="130" t="inlineStr">
        <is>
          <t>Therapist</t>
        </is>
      </c>
      <c r="N66" s="132" t="inlineStr">
        <is>
          <t>A</t>
        </is>
      </c>
      <c r="O66" s="131" t="inlineStr">
        <is>
          <t>OFF</t>
        </is>
      </c>
      <c r="P66" s="131" t="inlineStr">
        <is>
          <t>OFF</t>
        </is>
      </c>
      <c r="Q66" s="132" t="inlineStr">
        <is>
          <t>A</t>
        </is>
      </c>
      <c r="R66" s="132" t="inlineStr">
        <is>
          <t>A</t>
        </is>
      </c>
      <c r="S66" s="132" t="inlineStr">
        <is>
          <t>A</t>
        </is>
      </c>
      <c r="T66" s="132" t="inlineStr">
        <is>
          <t>A</t>
        </is>
      </c>
      <c r="U66" s="134" t="n">
        <v>5</v>
      </c>
      <c r="V66" s="7" t="n"/>
      <c r="W66" s="7" t="n"/>
      <c r="X66" s="7" t="n"/>
      <c r="Y66" s="7" t="n"/>
      <c r="Z66" s="7" t="n"/>
    </row>
    <row r="67" ht="21.75" customHeight="1" s="363">
      <c r="A67" s="135" t="inlineStr">
        <is>
          <t>T4 — Lena</t>
        </is>
      </c>
      <c r="B67" s="136" t="inlineStr">
        <is>
          <t>Therapist</t>
        </is>
      </c>
      <c r="C67" s="137" t="inlineStr">
        <is>
          <t>B</t>
        </is>
      </c>
      <c r="D67" s="137" t="inlineStr">
        <is>
          <t>B</t>
        </is>
      </c>
      <c r="E67" s="126" t="inlineStr">
        <is>
          <t>OFF</t>
        </is>
      </c>
      <c r="F67" s="126" t="inlineStr">
        <is>
          <t>OFF</t>
        </is>
      </c>
      <c r="G67" s="137" t="inlineStr">
        <is>
          <t>B</t>
        </is>
      </c>
      <c r="H67" s="137" t="inlineStr">
        <is>
          <t>B</t>
        </is>
      </c>
      <c r="I67" s="137" t="inlineStr">
        <is>
          <t>B</t>
        </is>
      </c>
      <c r="J67" s="128" t="n">
        <v>5</v>
      </c>
      <c r="K67" s="129" t="n"/>
      <c r="L67" s="130" t="inlineStr">
        <is>
          <t>Fae</t>
        </is>
      </c>
      <c r="M67" s="130" t="inlineStr">
        <is>
          <t>Therapist</t>
        </is>
      </c>
      <c r="N67" s="133" t="inlineStr">
        <is>
          <t>B</t>
        </is>
      </c>
      <c r="O67" s="131" t="inlineStr">
        <is>
          <t>OFF</t>
        </is>
      </c>
      <c r="P67" s="131" t="inlineStr">
        <is>
          <t>OFF</t>
        </is>
      </c>
      <c r="Q67" s="133" t="inlineStr">
        <is>
          <t>B</t>
        </is>
      </c>
      <c r="R67" s="133" t="inlineStr">
        <is>
          <t>B</t>
        </is>
      </c>
      <c r="S67" s="132" t="inlineStr">
        <is>
          <t>A</t>
        </is>
      </c>
      <c r="T67" s="133" t="inlineStr">
        <is>
          <t>B</t>
        </is>
      </c>
      <c r="U67" s="134" t="n">
        <v>5</v>
      </c>
      <c r="V67" s="7" t="n"/>
      <c r="W67" s="7" t="n"/>
      <c r="X67" s="7" t="n"/>
      <c r="Y67" s="7" t="n"/>
      <c r="Z67" s="7" t="n"/>
    </row>
    <row r="68" ht="21.75" customHeight="1" s="363">
      <c r="A68" s="124" t="inlineStr">
        <is>
          <t>R1 — Nadia</t>
        </is>
      </c>
      <c r="B68" s="125" t="inlineStr">
        <is>
          <t>Receptionist</t>
        </is>
      </c>
      <c r="C68" s="127" t="inlineStr">
        <is>
          <t>A</t>
        </is>
      </c>
      <c r="D68" s="126" t="inlineStr">
        <is>
          <t>OFF</t>
        </is>
      </c>
      <c r="E68" s="126" t="inlineStr">
        <is>
          <t>OFF</t>
        </is>
      </c>
      <c r="F68" s="127" t="inlineStr">
        <is>
          <t>A</t>
        </is>
      </c>
      <c r="G68" s="127" t="inlineStr">
        <is>
          <t>A</t>
        </is>
      </c>
      <c r="H68" s="127" t="inlineStr">
        <is>
          <t>A</t>
        </is>
      </c>
      <c r="I68" s="127" t="inlineStr">
        <is>
          <t>A</t>
        </is>
      </c>
      <c r="J68" s="128" t="n">
        <v>5</v>
      </c>
      <c r="K68" s="129" t="n"/>
      <c r="L68" s="130" t="inlineStr">
        <is>
          <t>Zola</t>
        </is>
      </c>
      <c r="M68" s="130" t="inlineStr">
        <is>
          <t>Therapist</t>
        </is>
      </c>
      <c r="N68" s="132" t="inlineStr">
        <is>
          <t>A</t>
        </is>
      </c>
      <c r="O68" s="132" t="inlineStr">
        <is>
          <t>A</t>
        </is>
      </c>
      <c r="P68" s="131" t="inlineStr">
        <is>
          <t>OFF</t>
        </is>
      </c>
      <c r="Q68" s="131" t="inlineStr">
        <is>
          <t>OFF</t>
        </is>
      </c>
      <c r="R68" s="132" t="inlineStr">
        <is>
          <t>A</t>
        </is>
      </c>
      <c r="S68" s="132" t="inlineStr">
        <is>
          <t>A</t>
        </is>
      </c>
      <c r="T68" s="132" t="inlineStr">
        <is>
          <t>A</t>
        </is>
      </c>
      <c r="U68" s="134" t="n">
        <v>5</v>
      </c>
      <c r="V68" s="7" t="n"/>
      <c r="W68" s="7" t="n"/>
      <c r="X68" s="7" t="n"/>
      <c r="Y68" s="7" t="n"/>
      <c r="Z68" s="7" t="n"/>
    </row>
    <row r="69" ht="21.75" customHeight="1" s="363">
      <c r="A69" s="135" t="inlineStr">
        <is>
          <t>RM1 — Jordan</t>
        </is>
      </c>
      <c r="B69" s="136" t="inlineStr">
        <is>
          <t>Reg. Manager</t>
        </is>
      </c>
      <c r="C69" s="126" t="inlineStr">
        <is>
          <t>OFF</t>
        </is>
      </c>
      <c r="D69" s="127" t="inlineStr">
        <is>
          <t>A</t>
        </is>
      </c>
      <c r="E69" s="127" t="inlineStr">
        <is>
          <t>A</t>
        </is>
      </c>
      <c r="F69" s="138" t="inlineStr">
        <is>
          <t>—</t>
        </is>
      </c>
      <c r="G69" s="138" t="inlineStr">
        <is>
          <t>—</t>
        </is>
      </c>
      <c r="H69" s="127" t="inlineStr">
        <is>
          <t>A</t>
        </is>
      </c>
      <c r="I69" s="126" t="inlineStr">
        <is>
          <t>OFF</t>
        </is>
      </c>
      <c r="J69" s="128" t="n">
        <v>3</v>
      </c>
      <c r="K69" s="129" t="n"/>
      <c r="L69" s="130" t="inlineStr">
        <is>
          <t>Aakansha</t>
        </is>
      </c>
      <c r="M69" s="130" t="inlineStr">
        <is>
          <t>Supervisor</t>
        </is>
      </c>
      <c r="N69" s="131" t="inlineStr">
        <is>
          <t>OFF</t>
        </is>
      </c>
      <c r="O69" s="132" t="inlineStr">
        <is>
          <t>A</t>
        </is>
      </c>
      <c r="P69" s="132" t="inlineStr">
        <is>
          <t>A</t>
        </is>
      </c>
      <c r="Q69" s="132" t="inlineStr">
        <is>
          <t>A</t>
        </is>
      </c>
      <c r="R69" s="132" t="inlineStr">
        <is>
          <t>A</t>
        </is>
      </c>
      <c r="S69" s="132" t="inlineStr">
        <is>
          <t>A</t>
        </is>
      </c>
      <c r="T69" s="131" t="inlineStr">
        <is>
          <t>OFF</t>
        </is>
      </c>
      <c r="U69" s="134" t="n">
        <v>5</v>
      </c>
      <c r="V69" s="7" t="n"/>
      <c r="W69" s="7" t="n"/>
      <c r="X69" s="7" t="n"/>
      <c r="Y69" s="7" t="n"/>
      <c r="Z69" s="7" t="n"/>
    </row>
    <row r="70" ht="7.5" customHeight="1" s="363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9.5" customHeight="1" s="363">
      <c r="A71" s="411" t="inlineStr">
        <is>
          <t>Therapists on floor (min 1):</t>
        </is>
      </c>
      <c r="B71" s="399" t="n"/>
      <c r="C71" s="140" t="inlineStr">
        <is>
          <t>✓ 2</t>
        </is>
      </c>
      <c r="D71" s="140" t="inlineStr">
        <is>
          <t>✓ 2</t>
        </is>
      </c>
      <c r="E71" s="140" t="inlineStr">
        <is>
          <t>✓ 2</t>
        </is>
      </c>
      <c r="F71" s="140" t="inlineStr">
        <is>
          <t>✓ 2</t>
        </is>
      </c>
      <c r="G71" s="140" t="inlineStr">
        <is>
          <t>✓ 4</t>
        </is>
      </c>
      <c r="H71" s="140" t="inlineStr">
        <is>
          <t>✓ 4</t>
        </is>
      </c>
      <c r="I71" s="140" t="inlineStr">
        <is>
          <t>✓ 4</t>
        </is>
      </c>
      <c r="J71" s="5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9.5" customHeight="1" s="363">
      <c r="A72" s="411" t="inlineStr">
        <is>
          <t>Reception covered (min 1):</t>
        </is>
      </c>
      <c r="B72" s="399" t="n"/>
      <c r="C72" s="140" t="inlineStr">
        <is>
          <t>✓ 1</t>
        </is>
      </c>
      <c r="D72" s="141" t="inlineStr">
        <is>
          <t>✗ 0</t>
        </is>
      </c>
      <c r="E72" s="141" t="inlineStr">
        <is>
          <t>✗ 0</t>
        </is>
      </c>
      <c r="F72" s="140" t="inlineStr">
        <is>
          <t>✓ 1</t>
        </is>
      </c>
      <c r="G72" s="140" t="inlineStr">
        <is>
          <t>✓ 1</t>
        </is>
      </c>
      <c r="H72" s="140" t="inlineStr">
        <is>
          <t>✓ 1</t>
        </is>
      </c>
      <c r="I72" s="140" t="inlineStr">
        <is>
          <t>✓ 1</t>
        </is>
      </c>
      <c r="J72" s="5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9.5" customHeight="1" s="363">
      <c r="A73" s="411" t="inlineStr">
        <is>
          <t>Double shift coverage (A+B):</t>
        </is>
      </c>
      <c r="B73" s="399" t="n"/>
      <c r="C73" s="140" t="inlineStr">
        <is>
          <t>A+B ✓</t>
        </is>
      </c>
      <c r="D73" s="140" t="inlineStr">
        <is>
          <t>A+B ✓</t>
        </is>
      </c>
      <c r="E73" s="140" t="inlineStr">
        <is>
          <t>A+B ✓</t>
        </is>
      </c>
      <c r="F73" s="140" t="inlineStr">
        <is>
          <t>A+B ✓</t>
        </is>
      </c>
      <c r="G73" s="140" t="inlineStr">
        <is>
          <t>A+B ✓</t>
        </is>
      </c>
      <c r="H73" s="140" t="inlineStr">
        <is>
          <t>A+B ✓</t>
        </is>
      </c>
      <c r="I73" s="140" t="inlineStr">
        <is>
          <t>A+B ✓</t>
        </is>
      </c>
      <c r="J73" s="5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57" t="n"/>
      <c r="B74" s="57" t="n"/>
      <c r="C74" s="57" t="n"/>
      <c r="D74" s="57" t="n"/>
      <c r="E74" s="57" t="n"/>
      <c r="F74" s="57" t="n"/>
      <c r="G74" s="57" t="n"/>
      <c r="H74" s="57" t="n"/>
      <c r="I74" s="57" t="n"/>
      <c r="J74" s="5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27.75" customHeight="1" s="363">
      <c r="A75" s="410" t="inlineStr">
        <is>
          <t>ROSTER 5 — EXCELSIOR  (Tier 2 | 4T + 1R + 0.33S shared w/ Novotel+Sliema)</t>
        </is>
      </c>
      <c r="B75" s="398" t="n"/>
      <c r="C75" s="398" t="n"/>
      <c r="D75" s="398" t="n"/>
      <c r="E75" s="398" t="n"/>
      <c r="F75" s="398" t="n"/>
      <c r="G75" s="398" t="n"/>
      <c r="H75" s="398" t="n"/>
      <c r="I75" s="398" t="n"/>
      <c r="J75" s="399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404" t="inlineStr">
        <is>
          <t>2025 Revenue: €24,263/mo (ex-VAT)  |  HC Budget (35%): €8,492  |  Base Cost: €7,961 (0.33S shared w/ Novotel+Sliema)  |  NEW location (6-month data) | Tier 2 upgrade | RM3 covers Mon+Tue (R1 off) | Note: Wed/Thu no front desk</t>
        </is>
      </c>
      <c r="B76" s="398" t="n"/>
      <c r="C76" s="398" t="n"/>
      <c r="D76" s="398" t="n"/>
      <c r="E76" s="398" t="n"/>
      <c r="F76" s="398" t="n"/>
      <c r="G76" s="398" t="n"/>
      <c r="H76" s="398" t="n"/>
      <c r="I76" s="398" t="n"/>
      <c r="J76" s="399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21.75" customHeight="1" s="363">
      <c r="A77" s="120" t="inlineStr">
        <is>
          <t>STAFF</t>
        </is>
      </c>
      <c r="B77" s="120" t="inlineStr">
        <is>
          <t>ROLE</t>
        </is>
      </c>
      <c r="C77" s="120" t="inlineStr">
        <is>
          <t>MON</t>
        </is>
      </c>
      <c r="D77" s="120" t="inlineStr">
        <is>
          <t>TUE</t>
        </is>
      </c>
      <c r="E77" s="120" t="inlineStr">
        <is>
          <t>WED</t>
        </is>
      </c>
      <c r="F77" s="120" t="inlineStr">
        <is>
          <t>THU</t>
        </is>
      </c>
      <c r="G77" s="121" t="inlineStr">
        <is>
          <t>FRI ★</t>
        </is>
      </c>
      <c r="H77" s="121" t="inlineStr">
        <is>
          <t>SAT ★</t>
        </is>
      </c>
      <c r="I77" s="121" t="inlineStr">
        <is>
          <t>SUN ★</t>
        </is>
      </c>
      <c r="J77" s="120" t="inlineStr">
        <is>
          <t>DAYS ON</t>
        </is>
      </c>
      <c r="K77" s="122" t="inlineStr">
        <is>
          <t>║ ACTUALS (APR 2026)</t>
        </is>
      </c>
      <c r="L77" s="123" t="inlineStr">
        <is>
          <t>STAFF (ACTUAL)</t>
        </is>
      </c>
      <c r="M77" s="123" t="inlineStr">
        <is>
          <t>ROLE</t>
        </is>
      </c>
      <c r="N77" s="123" t="inlineStr">
        <is>
          <t>MON</t>
        </is>
      </c>
      <c r="O77" s="123" t="inlineStr">
        <is>
          <t>TUE</t>
        </is>
      </c>
      <c r="P77" s="123" t="inlineStr">
        <is>
          <t>WED</t>
        </is>
      </c>
      <c r="Q77" s="123" t="inlineStr">
        <is>
          <t>THU</t>
        </is>
      </c>
      <c r="R77" s="123" t="inlineStr">
        <is>
          <t>FRI ★</t>
        </is>
      </c>
      <c r="S77" s="123" t="inlineStr">
        <is>
          <t>SAT ★</t>
        </is>
      </c>
      <c r="T77" s="123" t="inlineStr">
        <is>
          <t>SUN ★</t>
        </is>
      </c>
      <c r="U77" s="123" t="inlineStr">
        <is>
          <t>DAYS ON</t>
        </is>
      </c>
      <c r="V77" s="7" t="n"/>
      <c r="W77" s="7" t="n"/>
      <c r="X77" s="7" t="n"/>
      <c r="Y77" s="7" t="n"/>
      <c r="Z77" s="7" t="n"/>
    </row>
    <row r="78" ht="21.75" customHeight="1" s="363">
      <c r="A78" s="124" t="inlineStr">
        <is>
          <t>T1 — Valentina</t>
        </is>
      </c>
      <c r="B78" s="125" t="inlineStr">
        <is>
          <t>Therapist</t>
        </is>
      </c>
      <c r="C78" s="126" t="inlineStr">
        <is>
          <t>OFF</t>
        </is>
      </c>
      <c r="D78" s="126" t="inlineStr">
        <is>
          <t>OFF</t>
        </is>
      </c>
      <c r="E78" s="127" t="inlineStr">
        <is>
          <t>A</t>
        </is>
      </c>
      <c r="F78" s="127" t="inlineStr">
        <is>
          <t>A</t>
        </is>
      </c>
      <c r="G78" s="127" t="inlineStr">
        <is>
          <t>A</t>
        </is>
      </c>
      <c r="H78" s="127" t="inlineStr">
        <is>
          <t>A</t>
        </is>
      </c>
      <c r="I78" s="127" t="inlineStr">
        <is>
          <t>A</t>
        </is>
      </c>
      <c r="J78" s="128" t="n">
        <v>5</v>
      </c>
      <c r="K78" s="129" t="n"/>
      <c r="L78" s="130" t="inlineStr">
        <is>
          <t>Aura</t>
        </is>
      </c>
      <c r="M78" s="130" t="inlineStr">
        <is>
          <t>Therapist</t>
        </is>
      </c>
      <c r="N78" s="131" t="inlineStr">
        <is>
          <t>OFF</t>
        </is>
      </c>
      <c r="O78" s="131" t="inlineStr">
        <is>
          <t>OFF</t>
        </is>
      </c>
      <c r="P78" s="132" t="inlineStr">
        <is>
          <t>A</t>
        </is>
      </c>
      <c r="Q78" s="132" t="inlineStr">
        <is>
          <t>A</t>
        </is>
      </c>
      <c r="R78" s="132" t="inlineStr">
        <is>
          <t>A</t>
        </is>
      </c>
      <c r="S78" s="132" t="inlineStr">
        <is>
          <t>A</t>
        </is>
      </c>
      <c r="T78" s="133" t="inlineStr">
        <is>
          <t>B</t>
        </is>
      </c>
      <c r="U78" s="134" t="n">
        <v>5</v>
      </c>
      <c r="V78" s="7" t="n"/>
      <c r="W78" s="7" t="n"/>
      <c r="X78" s="7" t="n"/>
      <c r="Y78" s="7" t="n"/>
      <c r="Z78" s="7" t="n"/>
    </row>
    <row r="79" ht="21.75" customHeight="1" s="363">
      <c r="A79" s="135" t="inlineStr">
        <is>
          <t>T2 — Miriam</t>
        </is>
      </c>
      <c r="B79" s="136" t="inlineStr">
        <is>
          <t>Therapist</t>
        </is>
      </c>
      <c r="C79" s="126" t="inlineStr">
        <is>
          <t>OFF</t>
        </is>
      </c>
      <c r="D79" s="126" t="inlineStr">
        <is>
          <t>OFF</t>
        </is>
      </c>
      <c r="E79" s="137" t="inlineStr">
        <is>
          <t>B</t>
        </is>
      </c>
      <c r="F79" s="137" t="inlineStr">
        <is>
          <t>B</t>
        </is>
      </c>
      <c r="G79" s="137" t="inlineStr">
        <is>
          <t>B</t>
        </is>
      </c>
      <c r="H79" s="137" t="inlineStr">
        <is>
          <t>B</t>
        </is>
      </c>
      <c r="I79" s="137" t="inlineStr">
        <is>
          <t>B</t>
        </is>
      </c>
      <c r="J79" s="128" t="n">
        <v>5</v>
      </c>
      <c r="K79" s="129" t="n"/>
      <c r="L79" s="130" t="inlineStr">
        <is>
          <t>Mia</t>
        </is>
      </c>
      <c r="M79" s="130" t="inlineStr">
        <is>
          <t>Therapist</t>
        </is>
      </c>
      <c r="N79" s="131" t="inlineStr">
        <is>
          <t>OFF</t>
        </is>
      </c>
      <c r="O79" s="131" t="inlineStr">
        <is>
          <t>OFF</t>
        </is>
      </c>
      <c r="P79" s="133" t="inlineStr">
        <is>
          <t>B</t>
        </is>
      </c>
      <c r="Q79" s="133" t="inlineStr">
        <is>
          <t>B</t>
        </is>
      </c>
      <c r="R79" s="133" t="inlineStr">
        <is>
          <t>B</t>
        </is>
      </c>
      <c r="S79" s="132" t="inlineStr">
        <is>
          <t>A</t>
        </is>
      </c>
      <c r="T79" s="132" t="inlineStr">
        <is>
          <t>A</t>
        </is>
      </c>
      <c r="U79" s="134" t="n">
        <v>5</v>
      </c>
      <c r="V79" s="7" t="n"/>
      <c r="W79" s="7" t="n"/>
      <c r="X79" s="7" t="n"/>
      <c r="Y79" s="7" t="n"/>
      <c r="Z79" s="7" t="n"/>
    </row>
    <row r="80" ht="21.75" customHeight="1" s="363">
      <c r="A80" s="124" t="inlineStr">
        <is>
          <t>T3 — Fatima</t>
        </is>
      </c>
      <c r="B80" s="125" t="inlineStr">
        <is>
          <t>Therapist</t>
        </is>
      </c>
      <c r="C80" s="127" t="inlineStr">
        <is>
          <t>A</t>
        </is>
      </c>
      <c r="D80" s="127" t="inlineStr">
        <is>
          <t>A</t>
        </is>
      </c>
      <c r="E80" s="126" t="inlineStr">
        <is>
          <t>OFF</t>
        </is>
      </c>
      <c r="F80" s="126" t="inlineStr">
        <is>
          <t>OFF</t>
        </is>
      </c>
      <c r="G80" s="127" t="inlineStr">
        <is>
          <t>A</t>
        </is>
      </c>
      <c r="H80" s="127" t="inlineStr">
        <is>
          <t>A</t>
        </is>
      </c>
      <c r="I80" s="127" t="inlineStr">
        <is>
          <t>A</t>
        </is>
      </c>
      <c r="J80" s="128" t="n">
        <v>5</v>
      </c>
      <c r="K80" s="129" t="n"/>
      <c r="L80" s="130" t="inlineStr">
        <is>
          <t>Faye</t>
        </is>
      </c>
      <c r="M80" s="130" t="inlineStr">
        <is>
          <t>Therapist</t>
        </is>
      </c>
      <c r="N80" s="132" t="inlineStr">
        <is>
          <t>A</t>
        </is>
      </c>
      <c r="O80" s="131" t="inlineStr">
        <is>
          <t>OFF</t>
        </is>
      </c>
      <c r="P80" s="131" t="inlineStr">
        <is>
          <t>OFF</t>
        </is>
      </c>
      <c r="Q80" s="132" t="inlineStr">
        <is>
          <t>A</t>
        </is>
      </c>
      <c r="R80" s="132" t="inlineStr">
        <is>
          <t>A</t>
        </is>
      </c>
      <c r="S80" s="132" t="inlineStr">
        <is>
          <t>A</t>
        </is>
      </c>
      <c r="T80" s="132" t="inlineStr">
        <is>
          <t>A</t>
        </is>
      </c>
      <c r="U80" s="134" t="n">
        <v>5</v>
      </c>
      <c r="V80" s="7" t="n"/>
      <c r="W80" s="7" t="n"/>
      <c r="X80" s="7" t="n"/>
      <c r="Y80" s="7" t="n"/>
      <c r="Z80" s="7" t="n"/>
    </row>
    <row r="81" ht="21.75" customHeight="1" s="363">
      <c r="A81" s="135" t="inlineStr">
        <is>
          <t>T4 — Chiara</t>
        </is>
      </c>
      <c r="B81" s="136" t="inlineStr">
        <is>
          <t>Therapist</t>
        </is>
      </c>
      <c r="C81" s="137" t="inlineStr">
        <is>
          <t>B</t>
        </is>
      </c>
      <c r="D81" s="137" t="inlineStr">
        <is>
          <t>B</t>
        </is>
      </c>
      <c r="E81" s="126" t="inlineStr">
        <is>
          <t>OFF</t>
        </is>
      </c>
      <c r="F81" s="126" t="inlineStr">
        <is>
          <t>OFF</t>
        </is>
      </c>
      <c r="G81" s="137" t="inlineStr">
        <is>
          <t>B</t>
        </is>
      </c>
      <c r="H81" s="137" t="inlineStr">
        <is>
          <t>B</t>
        </is>
      </c>
      <c r="I81" s="137" t="inlineStr">
        <is>
          <t>B</t>
        </is>
      </c>
      <c r="J81" s="128" t="n">
        <v>5</v>
      </c>
      <c r="K81" s="129" t="n"/>
      <c r="L81" s="130" t="inlineStr">
        <is>
          <t>Jana</t>
        </is>
      </c>
      <c r="M81" s="130" t="inlineStr">
        <is>
          <t>Therapist</t>
        </is>
      </c>
      <c r="N81" s="133" t="inlineStr">
        <is>
          <t>B</t>
        </is>
      </c>
      <c r="O81" s="131" t="inlineStr">
        <is>
          <t>OFF</t>
        </is>
      </c>
      <c r="P81" s="131" t="inlineStr">
        <is>
          <t>OFF</t>
        </is>
      </c>
      <c r="Q81" s="133" t="inlineStr">
        <is>
          <t>B</t>
        </is>
      </c>
      <c r="R81" s="133" t="inlineStr">
        <is>
          <t>B</t>
        </is>
      </c>
      <c r="S81" s="132" t="inlineStr">
        <is>
          <t>A</t>
        </is>
      </c>
      <c r="T81" s="133" t="inlineStr">
        <is>
          <t>B</t>
        </is>
      </c>
      <c r="U81" s="134" t="n">
        <v>5</v>
      </c>
      <c r="V81" s="7" t="n"/>
      <c r="W81" s="7" t="n"/>
      <c r="X81" s="7" t="n"/>
      <c r="Y81" s="7" t="n"/>
      <c r="Z81" s="7" t="n"/>
    </row>
    <row r="82" ht="21.75" customHeight="1" s="363">
      <c r="A82" s="124" t="inlineStr">
        <is>
          <t>R1 — Beatriz</t>
        </is>
      </c>
      <c r="B82" s="125" t="inlineStr">
        <is>
          <t>Receptionist</t>
        </is>
      </c>
      <c r="C82" s="126" t="inlineStr">
        <is>
          <t>OFF</t>
        </is>
      </c>
      <c r="D82" s="126" t="inlineStr">
        <is>
          <t>OFF</t>
        </is>
      </c>
      <c r="E82" s="127" t="inlineStr">
        <is>
          <t>A</t>
        </is>
      </c>
      <c r="F82" s="127" t="inlineStr">
        <is>
          <t>A</t>
        </is>
      </c>
      <c r="G82" s="127" t="inlineStr">
        <is>
          <t>A</t>
        </is>
      </c>
      <c r="H82" s="127" t="inlineStr">
        <is>
          <t>A</t>
        </is>
      </c>
      <c r="I82" s="127" t="inlineStr">
        <is>
          <t>A</t>
        </is>
      </c>
      <c r="J82" s="128" t="n">
        <v>5</v>
      </c>
      <c r="K82" s="129" t="n"/>
      <c r="L82" s="130" t="inlineStr">
        <is>
          <t>Sofia</t>
        </is>
      </c>
      <c r="M82" s="130" t="inlineStr">
        <is>
          <t>Advisor</t>
        </is>
      </c>
      <c r="N82" s="131" t="inlineStr">
        <is>
          <t>OFF</t>
        </is>
      </c>
      <c r="O82" s="132" t="inlineStr">
        <is>
          <t>A</t>
        </is>
      </c>
      <c r="P82" s="132" t="inlineStr">
        <is>
          <t>A</t>
        </is>
      </c>
      <c r="Q82" s="132" t="inlineStr">
        <is>
          <t>A</t>
        </is>
      </c>
      <c r="R82" s="132" t="inlineStr">
        <is>
          <t>A</t>
        </is>
      </c>
      <c r="S82" s="132" t="inlineStr">
        <is>
          <t>A</t>
        </is>
      </c>
      <c r="T82" s="131" t="inlineStr">
        <is>
          <t>OFF</t>
        </is>
      </c>
      <c r="U82" s="134" t="n">
        <v>5</v>
      </c>
      <c r="V82" s="7" t="n"/>
      <c r="W82" s="7" t="n"/>
      <c r="X82" s="7" t="n"/>
      <c r="Y82" s="7" t="n"/>
      <c r="Z82" s="7" t="n"/>
    </row>
    <row r="83" ht="21.75" customHeight="1" s="363">
      <c r="A83" s="135" t="inlineStr">
        <is>
          <t>RM3 — Morgan</t>
        </is>
      </c>
      <c r="B83" s="136" t="inlineStr">
        <is>
          <t>Reg. Manager</t>
        </is>
      </c>
      <c r="C83" s="127" t="inlineStr">
        <is>
          <t>A</t>
        </is>
      </c>
      <c r="D83" s="127" t="inlineStr">
        <is>
          <t>A</t>
        </is>
      </c>
      <c r="E83" s="138" t="inlineStr">
        <is>
          <t>—</t>
        </is>
      </c>
      <c r="F83" s="138" t="inlineStr">
        <is>
          <t>—</t>
        </is>
      </c>
      <c r="G83" s="126" t="inlineStr">
        <is>
          <t>OFF</t>
        </is>
      </c>
      <c r="H83" s="127" t="inlineStr">
        <is>
          <t>A</t>
        </is>
      </c>
      <c r="I83" s="126" t="inlineStr">
        <is>
          <t>OFF</t>
        </is>
      </c>
      <c r="J83" s="128" t="n">
        <v>3</v>
      </c>
      <c r="K83" s="129" t="n"/>
      <c r="L83" s="130" t="inlineStr">
        <is>
          <t>Melanie</t>
        </is>
      </c>
      <c r="M83" s="130" t="inlineStr">
        <is>
          <t>Supervisor</t>
        </is>
      </c>
      <c r="N83" s="132" t="inlineStr">
        <is>
          <t>A</t>
        </is>
      </c>
      <c r="O83" s="132" t="inlineStr">
        <is>
          <t>A</t>
        </is>
      </c>
      <c r="P83" s="132" t="inlineStr">
        <is>
          <t>A</t>
        </is>
      </c>
      <c r="Q83" s="131" t="inlineStr">
        <is>
          <t>OFF</t>
        </is>
      </c>
      <c r="R83" s="132" t="inlineStr">
        <is>
          <t>A</t>
        </is>
      </c>
      <c r="S83" s="132" t="inlineStr">
        <is>
          <t>A</t>
        </is>
      </c>
      <c r="T83" s="131" t="inlineStr">
        <is>
          <t>OFF</t>
        </is>
      </c>
      <c r="U83" s="134" t="n">
        <v>5</v>
      </c>
      <c r="V83" s="7" t="n"/>
      <c r="W83" s="7" t="n"/>
      <c r="X83" s="7" t="n"/>
      <c r="Y83" s="7" t="n"/>
      <c r="Z83" s="7" t="n"/>
    </row>
    <row r="84" ht="7.5" customHeight="1" s="363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9.5" customHeight="1" s="363">
      <c r="A85" s="411" t="inlineStr">
        <is>
          <t>Therapists on floor (min 1):</t>
        </is>
      </c>
      <c r="B85" s="399" t="n"/>
      <c r="C85" s="140" t="inlineStr">
        <is>
          <t>✓ 2</t>
        </is>
      </c>
      <c r="D85" s="140" t="inlineStr">
        <is>
          <t>✓ 2</t>
        </is>
      </c>
      <c r="E85" s="140" t="inlineStr">
        <is>
          <t>✓ 2</t>
        </is>
      </c>
      <c r="F85" s="140" t="inlineStr">
        <is>
          <t>✓ 2</t>
        </is>
      </c>
      <c r="G85" s="140" t="inlineStr">
        <is>
          <t>✓ 4</t>
        </is>
      </c>
      <c r="H85" s="140" t="inlineStr">
        <is>
          <t>✓ 4</t>
        </is>
      </c>
      <c r="I85" s="140" t="inlineStr">
        <is>
          <t>✓ 4</t>
        </is>
      </c>
      <c r="J85" s="5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9.5" customHeight="1" s="363">
      <c r="A86" s="411" t="inlineStr">
        <is>
          <t>Reception covered (min 1):</t>
        </is>
      </c>
      <c r="B86" s="399" t="n"/>
      <c r="C86" s="141" t="inlineStr">
        <is>
          <t>✗ 0</t>
        </is>
      </c>
      <c r="D86" s="141" t="inlineStr">
        <is>
          <t>✗ 0</t>
        </is>
      </c>
      <c r="E86" s="140" t="inlineStr">
        <is>
          <t>✓ 1</t>
        </is>
      </c>
      <c r="F86" s="140" t="inlineStr">
        <is>
          <t>✓ 1</t>
        </is>
      </c>
      <c r="G86" s="140" t="inlineStr">
        <is>
          <t>✓ 1</t>
        </is>
      </c>
      <c r="H86" s="140" t="inlineStr">
        <is>
          <t>✓ 1</t>
        </is>
      </c>
      <c r="I86" s="140" t="inlineStr">
        <is>
          <t>✓ 1</t>
        </is>
      </c>
      <c r="J86" s="5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9.5" customHeight="1" s="363">
      <c r="A87" s="411" t="inlineStr">
        <is>
          <t>Double shift coverage (A+B):</t>
        </is>
      </c>
      <c r="B87" s="399" t="n"/>
      <c r="C87" s="140" t="inlineStr">
        <is>
          <t>A+B ✓</t>
        </is>
      </c>
      <c r="D87" s="140" t="inlineStr">
        <is>
          <t>A+B ✓</t>
        </is>
      </c>
      <c r="E87" s="140" t="inlineStr">
        <is>
          <t>A+B ✓</t>
        </is>
      </c>
      <c r="F87" s="140" t="inlineStr">
        <is>
          <t>A+B ✓</t>
        </is>
      </c>
      <c r="G87" s="140" t="inlineStr">
        <is>
          <t>A+B ✓</t>
        </is>
      </c>
      <c r="H87" s="140" t="inlineStr">
        <is>
          <t>A+B ✓</t>
        </is>
      </c>
      <c r="I87" s="140" t="inlineStr">
        <is>
          <t>A+B ✓</t>
        </is>
      </c>
      <c r="J87" s="5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57" t="n"/>
      <c r="B88" s="57" t="n"/>
      <c r="C88" s="57" t="n"/>
      <c r="D88" s="57" t="n"/>
      <c r="E88" s="57" t="n"/>
      <c r="F88" s="57" t="n"/>
      <c r="G88" s="57" t="n"/>
      <c r="H88" s="57" t="n"/>
      <c r="I88" s="57" t="n"/>
      <c r="J88" s="5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27.75" customHeight="1" s="363">
      <c r="A89" s="410" t="inlineStr">
        <is>
          <t>ROSTER 6 — RIVIERA  (Tier 3 | 4T + 1R + 0.33RM shared w/ Ramla+Sunny Coast)</t>
        </is>
      </c>
      <c r="B89" s="398" t="n"/>
      <c r="C89" s="398" t="n"/>
      <c r="D89" s="398" t="n"/>
      <c r="E89" s="398" t="n"/>
      <c r="F89" s="398" t="n"/>
      <c r="G89" s="398" t="n"/>
      <c r="H89" s="398" t="n"/>
      <c r="I89" s="398" t="n"/>
      <c r="J89" s="399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404" t="inlineStr">
        <is>
          <t>2025 Revenue: €19,936/mo (ex-VAT)  |  HC Budget (35%): €6,978  |  Base Cost: €8,250 (0.33RM shared)  |  All 4T on Fri/Sat/Sun | RM2 covers Mon+Tue reception | Note: Tue single-therapist day (structural — 4T + Sat-mandatory)</t>
        </is>
      </c>
      <c r="B90" s="398" t="n"/>
      <c r="C90" s="398" t="n"/>
      <c r="D90" s="398" t="n"/>
      <c r="E90" s="398" t="n"/>
      <c r="F90" s="398" t="n"/>
      <c r="G90" s="398" t="n"/>
      <c r="H90" s="398" t="n"/>
      <c r="I90" s="398" t="n"/>
      <c r="J90" s="399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21.75" customHeight="1" s="363">
      <c r="A91" s="120" t="inlineStr">
        <is>
          <t>STAFF</t>
        </is>
      </c>
      <c r="B91" s="120" t="inlineStr">
        <is>
          <t>ROLE</t>
        </is>
      </c>
      <c r="C91" s="120" t="inlineStr">
        <is>
          <t>MON</t>
        </is>
      </c>
      <c r="D91" s="120" t="inlineStr">
        <is>
          <t>TUE</t>
        </is>
      </c>
      <c r="E91" s="120" t="inlineStr">
        <is>
          <t>WED</t>
        </is>
      </c>
      <c r="F91" s="120" t="inlineStr">
        <is>
          <t>THU</t>
        </is>
      </c>
      <c r="G91" s="121" t="inlineStr">
        <is>
          <t>FRI ★</t>
        </is>
      </c>
      <c r="H91" s="121" t="inlineStr">
        <is>
          <t>SAT ★</t>
        </is>
      </c>
      <c r="I91" s="121" t="inlineStr">
        <is>
          <t>SUN ★</t>
        </is>
      </c>
      <c r="J91" s="120" t="inlineStr">
        <is>
          <t>DAYS ON</t>
        </is>
      </c>
      <c r="K91" s="122" t="inlineStr">
        <is>
          <t>║ ACTUALS (APR 2026)</t>
        </is>
      </c>
      <c r="L91" s="123" t="inlineStr">
        <is>
          <t>STAFF (ACTUAL)</t>
        </is>
      </c>
      <c r="M91" s="123" t="inlineStr">
        <is>
          <t>ROLE</t>
        </is>
      </c>
      <c r="N91" s="123" t="inlineStr">
        <is>
          <t>MON</t>
        </is>
      </c>
      <c r="O91" s="123" t="inlineStr">
        <is>
          <t>TUE</t>
        </is>
      </c>
      <c r="P91" s="123" t="inlineStr">
        <is>
          <t>WED</t>
        </is>
      </c>
      <c r="Q91" s="123" t="inlineStr">
        <is>
          <t>THU</t>
        </is>
      </c>
      <c r="R91" s="123" t="inlineStr">
        <is>
          <t>FRI ★</t>
        </is>
      </c>
      <c r="S91" s="123" t="inlineStr">
        <is>
          <t>SAT ★</t>
        </is>
      </c>
      <c r="T91" s="123" t="inlineStr">
        <is>
          <t>SUN ★</t>
        </is>
      </c>
      <c r="U91" s="123" t="inlineStr">
        <is>
          <t>DAYS ON</t>
        </is>
      </c>
      <c r="V91" s="7" t="n"/>
      <c r="W91" s="7" t="n"/>
      <c r="X91" s="7" t="n"/>
      <c r="Y91" s="7" t="n"/>
      <c r="Z91" s="7" t="n"/>
    </row>
    <row r="92" ht="21.75" customHeight="1" s="363">
      <c r="A92" s="124" t="inlineStr">
        <is>
          <t>T1 — Maya</t>
        </is>
      </c>
      <c r="B92" s="125" t="inlineStr">
        <is>
          <t>Therapist</t>
        </is>
      </c>
      <c r="C92" s="126" t="inlineStr">
        <is>
          <t>OFF</t>
        </is>
      </c>
      <c r="D92" s="126" t="inlineStr">
        <is>
          <t>OFF</t>
        </is>
      </c>
      <c r="E92" s="127" t="inlineStr">
        <is>
          <t>A</t>
        </is>
      </c>
      <c r="F92" s="137" t="inlineStr">
        <is>
          <t>B</t>
        </is>
      </c>
      <c r="G92" s="127" t="inlineStr">
        <is>
          <t>A</t>
        </is>
      </c>
      <c r="H92" s="127" t="inlineStr">
        <is>
          <t>A</t>
        </is>
      </c>
      <c r="I92" s="137" t="inlineStr">
        <is>
          <t>B</t>
        </is>
      </c>
      <c r="J92" s="128" t="n">
        <v>5</v>
      </c>
      <c r="K92" s="129" t="n"/>
      <c r="L92" s="130" t="inlineStr">
        <is>
          <t>Rosa</t>
        </is>
      </c>
      <c r="M92" s="130" t="inlineStr">
        <is>
          <t>Therapist</t>
        </is>
      </c>
      <c r="N92" s="131" t="inlineStr">
        <is>
          <t>OFF</t>
        </is>
      </c>
      <c r="O92" s="131" t="inlineStr">
        <is>
          <t>OFF</t>
        </is>
      </c>
      <c r="P92" s="132" t="inlineStr">
        <is>
          <t>A</t>
        </is>
      </c>
      <c r="Q92" s="132" t="inlineStr">
        <is>
          <t>A</t>
        </is>
      </c>
      <c r="R92" s="132" t="inlineStr">
        <is>
          <t>A</t>
        </is>
      </c>
      <c r="S92" s="132" t="inlineStr">
        <is>
          <t>A</t>
        </is>
      </c>
      <c r="T92" s="133" t="inlineStr">
        <is>
          <t>B</t>
        </is>
      </c>
      <c r="U92" s="134" t="n">
        <v>5</v>
      </c>
      <c r="V92" s="7" t="n"/>
      <c r="W92" s="7" t="n"/>
      <c r="X92" s="7" t="n"/>
      <c r="Y92" s="7" t="n"/>
      <c r="Z92" s="7" t="n"/>
    </row>
    <row r="93" ht="21.75" customHeight="1" s="363">
      <c r="A93" s="135" t="inlineStr">
        <is>
          <t>T2 — Sofia</t>
        </is>
      </c>
      <c r="B93" s="136" t="inlineStr">
        <is>
          <t>Therapist</t>
        </is>
      </c>
      <c r="C93" s="126" t="inlineStr">
        <is>
          <t>OFF</t>
        </is>
      </c>
      <c r="D93" s="126" t="inlineStr">
        <is>
          <t>OFF</t>
        </is>
      </c>
      <c r="E93" s="137" t="inlineStr">
        <is>
          <t>B</t>
        </is>
      </c>
      <c r="F93" s="127" t="inlineStr">
        <is>
          <t>A</t>
        </is>
      </c>
      <c r="G93" s="137" t="inlineStr">
        <is>
          <t>B</t>
        </is>
      </c>
      <c r="H93" s="137" t="inlineStr">
        <is>
          <t>B</t>
        </is>
      </c>
      <c r="I93" s="127" t="inlineStr">
        <is>
          <t>A</t>
        </is>
      </c>
      <c r="J93" s="128" t="n">
        <v>5</v>
      </c>
      <c r="K93" s="129" t="n"/>
      <c r="L93" s="130" t="inlineStr">
        <is>
          <t>Taia</t>
        </is>
      </c>
      <c r="M93" s="130" t="inlineStr">
        <is>
          <t>Therapist</t>
        </is>
      </c>
      <c r="N93" s="132" t="inlineStr">
        <is>
          <t>A</t>
        </is>
      </c>
      <c r="O93" s="131" t="inlineStr">
        <is>
          <t>OFF</t>
        </is>
      </c>
      <c r="P93" s="131" t="inlineStr">
        <is>
          <t>OFF</t>
        </is>
      </c>
      <c r="Q93" s="132" t="inlineStr">
        <is>
          <t>A</t>
        </is>
      </c>
      <c r="R93" s="132" t="inlineStr">
        <is>
          <t>A</t>
        </is>
      </c>
      <c r="S93" s="132" t="inlineStr">
        <is>
          <t>A</t>
        </is>
      </c>
      <c r="T93" s="132" t="inlineStr">
        <is>
          <t>A</t>
        </is>
      </c>
      <c r="U93" s="134" t="n">
        <v>5</v>
      </c>
      <c r="V93" s="7" t="n"/>
      <c r="W93" s="7" t="n"/>
      <c r="X93" s="7" t="n"/>
      <c r="Y93" s="7" t="n"/>
      <c r="Z93" s="7" t="n"/>
    </row>
    <row r="94" ht="21.75" customHeight="1" s="363">
      <c r="A94" s="124" t="inlineStr">
        <is>
          <t>T3 — Elena</t>
        </is>
      </c>
      <c r="B94" s="125" t="inlineStr">
        <is>
          <t>Therapist</t>
        </is>
      </c>
      <c r="C94" s="127" t="inlineStr">
        <is>
          <t>A</t>
        </is>
      </c>
      <c r="D94" s="126" t="inlineStr">
        <is>
          <t>OFF</t>
        </is>
      </c>
      <c r="E94" s="126" t="inlineStr">
        <is>
          <t>OFF</t>
        </is>
      </c>
      <c r="F94" s="137" t="inlineStr">
        <is>
          <t>B</t>
        </is>
      </c>
      <c r="G94" s="137" t="inlineStr">
        <is>
          <t>B</t>
        </is>
      </c>
      <c r="H94" s="127" t="inlineStr">
        <is>
          <t>A</t>
        </is>
      </c>
      <c r="I94" s="127" t="inlineStr">
        <is>
          <t>A</t>
        </is>
      </c>
      <c r="J94" s="128" t="n">
        <v>5</v>
      </c>
      <c r="K94" s="129" t="n"/>
      <c r="L94" s="130" t="inlineStr">
        <is>
          <t>Nina</t>
        </is>
      </c>
      <c r="M94" s="130" t="inlineStr">
        <is>
          <t>Therapist</t>
        </is>
      </c>
      <c r="N94" s="132" t="inlineStr">
        <is>
          <t>A</t>
        </is>
      </c>
      <c r="O94" s="132" t="inlineStr">
        <is>
          <t>A</t>
        </is>
      </c>
      <c r="P94" s="131" t="inlineStr">
        <is>
          <t>OFF</t>
        </is>
      </c>
      <c r="Q94" s="131" t="inlineStr">
        <is>
          <t>OFF</t>
        </is>
      </c>
      <c r="R94" s="132" t="inlineStr">
        <is>
          <t>A</t>
        </is>
      </c>
      <c r="S94" s="132" t="inlineStr">
        <is>
          <t>A</t>
        </is>
      </c>
      <c r="T94" s="132" t="inlineStr">
        <is>
          <t>A</t>
        </is>
      </c>
      <c r="U94" s="134" t="n">
        <v>5</v>
      </c>
      <c r="V94" s="7" t="n"/>
      <c r="W94" s="7" t="n"/>
      <c r="X94" s="7" t="n"/>
      <c r="Y94" s="7" t="n"/>
      <c r="Z94" s="7" t="n"/>
    </row>
    <row r="95" ht="21.75" customHeight="1" s="363">
      <c r="A95" s="135" t="inlineStr">
        <is>
          <t>T4 — Lucia</t>
        </is>
      </c>
      <c r="B95" s="136" t="inlineStr">
        <is>
          <t>Therapist</t>
        </is>
      </c>
      <c r="C95" s="137" t="inlineStr">
        <is>
          <t>B</t>
        </is>
      </c>
      <c r="D95" s="127" t="inlineStr">
        <is>
          <t>A</t>
        </is>
      </c>
      <c r="E95" s="126" t="inlineStr">
        <is>
          <t>OFF</t>
        </is>
      </c>
      <c r="F95" s="126" t="inlineStr">
        <is>
          <t>OFF</t>
        </is>
      </c>
      <c r="G95" s="127" t="inlineStr">
        <is>
          <t>A</t>
        </is>
      </c>
      <c r="H95" s="137" t="inlineStr">
        <is>
          <t>B</t>
        </is>
      </c>
      <c r="I95" s="127" t="inlineStr">
        <is>
          <t>A</t>
        </is>
      </c>
      <c r="J95" s="128" t="n">
        <v>5</v>
      </c>
      <c r="K95" s="129" t="n"/>
      <c r="L95" s="130" t="inlineStr">
        <is>
          <t>Praise</t>
        </is>
      </c>
      <c r="M95" s="130" t="inlineStr">
        <is>
          <t>Advisor</t>
        </is>
      </c>
      <c r="N95" s="131" t="inlineStr">
        <is>
          <t>OFF</t>
        </is>
      </c>
      <c r="O95" s="132" t="inlineStr">
        <is>
          <t>A</t>
        </is>
      </c>
      <c r="P95" s="132" t="inlineStr">
        <is>
          <t>A</t>
        </is>
      </c>
      <c r="Q95" s="132" t="inlineStr">
        <is>
          <t>A</t>
        </is>
      </c>
      <c r="R95" s="132" t="inlineStr">
        <is>
          <t>A</t>
        </is>
      </c>
      <c r="S95" s="132" t="inlineStr">
        <is>
          <t>A</t>
        </is>
      </c>
      <c r="T95" s="131" t="inlineStr">
        <is>
          <t>OFF</t>
        </is>
      </c>
      <c r="U95" s="134" t="n">
        <v>5</v>
      </c>
      <c r="V95" s="7" t="n"/>
      <c r="W95" s="7" t="n"/>
      <c r="X95" s="7" t="n"/>
      <c r="Y95" s="7" t="n"/>
      <c r="Z95" s="7" t="n"/>
    </row>
    <row r="96" ht="21.75" customHeight="1" s="363">
      <c r="A96" s="124" t="inlineStr">
        <is>
          <t>R1 — Daniela</t>
        </is>
      </c>
      <c r="B96" s="125" t="inlineStr">
        <is>
          <t>Receptionist</t>
        </is>
      </c>
      <c r="C96" s="126" t="inlineStr">
        <is>
          <t>OFF</t>
        </is>
      </c>
      <c r="D96" s="126" t="inlineStr">
        <is>
          <t>OFF</t>
        </is>
      </c>
      <c r="E96" s="127" t="inlineStr">
        <is>
          <t>A</t>
        </is>
      </c>
      <c r="F96" s="127" t="inlineStr">
        <is>
          <t>A</t>
        </is>
      </c>
      <c r="G96" s="127" t="inlineStr">
        <is>
          <t>A</t>
        </is>
      </c>
      <c r="H96" s="127" t="inlineStr">
        <is>
          <t>A</t>
        </is>
      </c>
      <c r="I96" s="137" t="inlineStr">
        <is>
          <t>B</t>
        </is>
      </c>
      <c r="J96" s="128" t="n">
        <v>5</v>
      </c>
      <c r="K96" s="129" t="n"/>
      <c r="L96" s="130" t="inlineStr">
        <is>
          <t>Natalia</t>
        </is>
      </c>
      <c r="M96" s="130" t="inlineStr">
        <is>
          <t>Supervisor</t>
        </is>
      </c>
      <c r="N96" s="132" t="inlineStr">
        <is>
          <t>A</t>
        </is>
      </c>
      <c r="O96" s="132" t="inlineStr">
        <is>
          <t>A</t>
        </is>
      </c>
      <c r="P96" s="131" t="inlineStr">
        <is>
          <t>OFF</t>
        </is>
      </c>
      <c r="Q96" s="132" t="inlineStr">
        <is>
          <t>A</t>
        </is>
      </c>
      <c r="R96" s="132" t="inlineStr">
        <is>
          <t>A</t>
        </is>
      </c>
      <c r="S96" s="132" t="inlineStr">
        <is>
          <t>A</t>
        </is>
      </c>
      <c r="T96" s="131" t="inlineStr">
        <is>
          <t>OFF</t>
        </is>
      </c>
      <c r="U96" s="134" t="n">
        <v>5</v>
      </c>
      <c r="V96" s="7" t="n"/>
      <c r="W96" s="7" t="n"/>
      <c r="X96" s="7" t="n"/>
      <c r="Y96" s="7" t="n"/>
      <c r="Z96" s="7" t="n"/>
    </row>
    <row r="97" ht="21.75" customHeight="1" s="363">
      <c r="A97" s="135" t="inlineStr">
        <is>
          <t>RM2 — Lucas</t>
        </is>
      </c>
      <c r="B97" s="136" t="inlineStr">
        <is>
          <t>Reg. Manager</t>
        </is>
      </c>
      <c r="C97" s="127" t="inlineStr">
        <is>
          <t>A</t>
        </is>
      </c>
      <c r="D97" s="127" t="inlineStr">
        <is>
          <t>A</t>
        </is>
      </c>
      <c r="E97" s="138" t="inlineStr">
        <is>
          <t>—</t>
        </is>
      </c>
      <c r="F97" s="138" t="inlineStr">
        <is>
          <t>—</t>
        </is>
      </c>
      <c r="G97" s="126" t="inlineStr">
        <is>
          <t>OFF</t>
        </is>
      </c>
      <c r="H97" s="127" t="inlineStr">
        <is>
          <t>A</t>
        </is>
      </c>
      <c r="I97" s="126" t="inlineStr">
        <is>
          <t>OFF</t>
        </is>
      </c>
      <c r="J97" s="128" t="n">
        <v>3</v>
      </c>
      <c r="K97" s="129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7.5" customHeight="1" s="363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9.5" customHeight="1" s="363">
      <c r="A99" s="411" t="inlineStr">
        <is>
          <t>Therapists on floor (min 1):</t>
        </is>
      </c>
      <c r="B99" s="399" t="n"/>
      <c r="C99" s="140" t="inlineStr">
        <is>
          <t>✓ 2</t>
        </is>
      </c>
      <c r="D99" s="140" t="inlineStr">
        <is>
          <t>✓ 1</t>
        </is>
      </c>
      <c r="E99" s="140" t="inlineStr">
        <is>
          <t>✓ 2</t>
        </is>
      </c>
      <c r="F99" s="140" t="inlineStr">
        <is>
          <t>✓ 3</t>
        </is>
      </c>
      <c r="G99" s="140" t="inlineStr">
        <is>
          <t>✓ 4</t>
        </is>
      </c>
      <c r="H99" s="140" t="inlineStr">
        <is>
          <t>✓ 4</t>
        </is>
      </c>
      <c r="I99" s="140" t="inlineStr">
        <is>
          <t>✓ 4</t>
        </is>
      </c>
      <c r="J99" s="5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9.5" customHeight="1" s="363">
      <c r="A100" s="411" t="inlineStr">
        <is>
          <t>Reception covered (min 1):</t>
        </is>
      </c>
      <c r="B100" s="399" t="n"/>
      <c r="C100" s="141" t="inlineStr">
        <is>
          <t>✗ 0</t>
        </is>
      </c>
      <c r="D100" s="141" t="inlineStr">
        <is>
          <t>✗ 0</t>
        </is>
      </c>
      <c r="E100" s="140" t="inlineStr">
        <is>
          <t>✓ 1</t>
        </is>
      </c>
      <c r="F100" s="140" t="inlineStr">
        <is>
          <t>✓ 1</t>
        </is>
      </c>
      <c r="G100" s="140" t="inlineStr">
        <is>
          <t>✓ 1</t>
        </is>
      </c>
      <c r="H100" s="140" t="inlineStr">
        <is>
          <t>✓ 1</t>
        </is>
      </c>
      <c r="I100" s="140" t="inlineStr">
        <is>
          <t>✓ 1</t>
        </is>
      </c>
      <c r="J100" s="5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9.5" customHeight="1" s="363">
      <c r="A101" s="411" t="inlineStr">
        <is>
          <t>Double shift coverage (A+B):</t>
        </is>
      </c>
      <c r="B101" s="399" t="n"/>
      <c r="C101" s="140" t="inlineStr">
        <is>
          <t>A+B ✓</t>
        </is>
      </c>
      <c r="D101" s="142" t="inlineStr">
        <is>
          <t>A only</t>
        </is>
      </c>
      <c r="E101" s="140" t="inlineStr">
        <is>
          <t>A+B ✓</t>
        </is>
      </c>
      <c r="F101" s="140" t="inlineStr">
        <is>
          <t>A+B ✓</t>
        </is>
      </c>
      <c r="G101" s="140" t="inlineStr">
        <is>
          <t>A+B ✓</t>
        </is>
      </c>
      <c r="H101" s="140" t="inlineStr">
        <is>
          <t>A+B ✓</t>
        </is>
      </c>
      <c r="I101" s="140" t="inlineStr">
        <is>
          <t>A+B ✓</t>
        </is>
      </c>
      <c r="J101" s="5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27.75" customHeight="1" s="363">
      <c r="A103" s="410" t="inlineStr">
        <is>
          <t>ROSTER 7 — SUNNY COAST (ODYCY)  (Tier 3 | 3T + 1R + 0.33RM shared w/ Ramla+Riviera)</t>
        </is>
      </c>
      <c r="B103" s="398" t="n"/>
      <c r="C103" s="398" t="n"/>
      <c r="D103" s="398" t="n"/>
      <c r="E103" s="398" t="n"/>
      <c r="F103" s="398" t="n"/>
      <c r="G103" s="398" t="n"/>
      <c r="H103" s="398" t="n"/>
      <c r="I103" s="398" t="n"/>
      <c r="J103" s="399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404" t="inlineStr">
        <is>
          <t>2025 Revenue: €18,204/mo (ex-VAT)  |  HC Budget (35%): €6,371  |  Base Cost: €6,750 (0.33RM shared)  |  Tier 3 upgrade (was Tier 4) | RM2 covers Wed+Thu reception | Note: Tue/Wed single-therapist days (structural — 3T)</t>
        </is>
      </c>
      <c r="B104" s="398" t="n"/>
      <c r="C104" s="398" t="n"/>
      <c r="D104" s="398" t="n"/>
      <c r="E104" s="398" t="n"/>
      <c r="F104" s="398" t="n"/>
      <c r="G104" s="398" t="n"/>
      <c r="H104" s="398" t="n"/>
      <c r="I104" s="398" t="n"/>
      <c r="J104" s="399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21.75" customHeight="1" s="363">
      <c r="A105" s="120" t="inlineStr">
        <is>
          <t>STAFF</t>
        </is>
      </c>
      <c r="B105" s="120" t="inlineStr">
        <is>
          <t>ROLE</t>
        </is>
      </c>
      <c r="C105" s="120" t="inlineStr">
        <is>
          <t>MON</t>
        </is>
      </c>
      <c r="D105" s="120" t="inlineStr">
        <is>
          <t>TUE</t>
        </is>
      </c>
      <c r="E105" s="120" t="inlineStr">
        <is>
          <t>WED</t>
        </is>
      </c>
      <c r="F105" s="120" t="inlineStr">
        <is>
          <t>THU</t>
        </is>
      </c>
      <c r="G105" s="121" t="inlineStr">
        <is>
          <t>FRI ★</t>
        </is>
      </c>
      <c r="H105" s="121" t="inlineStr">
        <is>
          <t>SAT ★</t>
        </is>
      </c>
      <c r="I105" s="121" t="inlineStr">
        <is>
          <t>SUN ★</t>
        </is>
      </c>
      <c r="J105" s="120" t="inlineStr">
        <is>
          <t>DAYS ON</t>
        </is>
      </c>
      <c r="K105" s="122" t="inlineStr">
        <is>
          <t>║ ACTUALS (APR 2026)</t>
        </is>
      </c>
      <c r="L105" s="123" t="inlineStr">
        <is>
          <t>STAFF (ACTUAL)</t>
        </is>
      </c>
      <c r="M105" s="123" t="inlineStr">
        <is>
          <t>ROLE</t>
        </is>
      </c>
      <c r="N105" s="123" t="inlineStr">
        <is>
          <t>MON</t>
        </is>
      </c>
      <c r="O105" s="123" t="inlineStr">
        <is>
          <t>TUE</t>
        </is>
      </c>
      <c r="P105" s="123" t="inlineStr">
        <is>
          <t>WED</t>
        </is>
      </c>
      <c r="Q105" s="123" t="inlineStr">
        <is>
          <t>THU</t>
        </is>
      </c>
      <c r="R105" s="123" t="inlineStr">
        <is>
          <t>FRI ★</t>
        </is>
      </c>
      <c r="S105" s="123" t="inlineStr">
        <is>
          <t>SAT ★</t>
        </is>
      </c>
      <c r="T105" s="123" t="inlineStr">
        <is>
          <t>SUN ★</t>
        </is>
      </c>
      <c r="U105" s="123" t="inlineStr">
        <is>
          <t>DAYS ON</t>
        </is>
      </c>
      <c r="V105" s="7" t="n"/>
      <c r="W105" s="7" t="n"/>
      <c r="X105" s="7" t="n"/>
      <c r="Y105" s="7" t="n"/>
      <c r="Z105" s="7" t="n"/>
    </row>
    <row r="106" ht="21.75" customHeight="1" s="363">
      <c r="A106" s="124" t="inlineStr">
        <is>
          <t>T1 — Natasha</t>
        </is>
      </c>
      <c r="B106" s="125" t="inlineStr">
        <is>
          <t>Therapist</t>
        </is>
      </c>
      <c r="C106" s="126" t="inlineStr">
        <is>
          <t>OFF</t>
        </is>
      </c>
      <c r="D106" s="126" t="inlineStr">
        <is>
          <t>OFF</t>
        </is>
      </c>
      <c r="E106" s="127" t="inlineStr">
        <is>
          <t>A</t>
        </is>
      </c>
      <c r="F106" s="137" t="inlineStr">
        <is>
          <t>B</t>
        </is>
      </c>
      <c r="G106" s="127" t="inlineStr">
        <is>
          <t>A</t>
        </is>
      </c>
      <c r="H106" s="127" t="inlineStr">
        <is>
          <t>A</t>
        </is>
      </c>
      <c r="I106" s="137" t="inlineStr">
        <is>
          <t>B</t>
        </is>
      </c>
      <c r="J106" s="128" t="n">
        <v>5</v>
      </c>
      <c r="K106" s="129" t="n"/>
      <c r="L106" s="130" t="inlineStr">
        <is>
          <t>Vera</t>
        </is>
      </c>
      <c r="M106" s="130" t="inlineStr">
        <is>
          <t>Therapist</t>
        </is>
      </c>
      <c r="N106" s="131" t="inlineStr">
        <is>
          <t>OFF</t>
        </is>
      </c>
      <c r="O106" s="131" t="inlineStr">
        <is>
          <t>OFF</t>
        </is>
      </c>
      <c r="P106" s="132" t="inlineStr">
        <is>
          <t>A</t>
        </is>
      </c>
      <c r="Q106" s="132" t="inlineStr">
        <is>
          <t>A</t>
        </is>
      </c>
      <c r="R106" s="132" t="inlineStr">
        <is>
          <t>A</t>
        </is>
      </c>
      <c r="S106" s="132" t="inlineStr">
        <is>
          <t>A</t>
        </is>
      </c>
      <c r="T106" s="133" t="inlineStr">
        <is>
          <t>B</t>
        </is>
      </c>
      <c r="U106" s="134" t="n">
        <v>5</v>
      </c>
      <c r="V106" s="7" t="n"/>
      <c r="W106" s="7" t="n"/>
      <c r="X106" s="7" t="n"/>
      <c r="Y106" s="7" t="n"/>
      <c r="Z106" s="7" t="n"/>
    </row>
    <row r="107" ht="21.75" customHeight="1" s="363">
      <c r="A107" s="135" t="inlineStr">
        <is>
          <t>T2 — Priya</t>
        </is>
      </c>
      <c r="B107" s="136" t="inlineStr">
        <is>
          <t>Therapist</t>
        </is>
      </c>
      <c r="C107" s="127" t="inlineStr">
        <is>
          <t>A</t>
        </is>
      </c>
      <c r="D107" s="126" t="inlineStr">
        <is>
          <t>OFF</t>
        </is>
      </c>
      <c r="E107" s="126" t="inlineStr">
        <is>
          <t>OFF</t>
        </is>
      </c>
      <c r="F107" s="127" t="inlineStr">
        <is>
          <t>A</t>
        </is>
      </c>
      <c r="G107" s="137" t="inlineStr">
        <is>
          <t>B</t>
        </is>
      </c>
      <c r="H107" s="127" t="inlineStr">
        <is>
          <t>A</t>
        </is>
      </c>
      <c r="I107" s="127" t="inlineStr">
        <is>
          <t>A</t>
        </is>
      </c>
      <c r="J107" s="128" t="n">
        <v>5</v>
      </c>
      <c r="K107" s="129" t="n"/>
      <c r="L107" s="130" t="inlineStr">
        <is>
          <t>Kira</t>
        </is>
      </c>
      <c r="M107" s="130" t="inlineStr">
        <is>
          <t>Therapist</t>
        </is>
      </c>
      <c r="N107" s="132" t="inlineStr">
        <is>
          <t>A</t>
        </is>
      </c>
      <c r="O107" s="131" t="inlineStr">
        <is>
          <t>OFF</t>
        </is>
      </c>
      <c r="P107" s="131" t="inlineStr">
        <is>
          <t>OFF</t>
        </is>
      </c>
      <c r="Q107" s="132" t="inlineStr">
        <is>
          <t>A</t>
        </is>
      </c>
      <c r="R107" s="132" t="inlineStr">
        <is>
          <t>A</t>
        </is>
      </c>
      <c r="S107" s="132" t="inlineStr">
        <is>
          <t>A</t>
        </is>
      </c>
      <c r="T107" s="132" t="inlineStr">
        <is>
          <t>A</t>
        </is>
      </c>
      <c r="U107" s="134" t="n">
        <v>5</v>
      </c>
      <c r="V107" s="7" t="n"/>
      <c r="W107" s="7" t="n"/>
      <c r="X107" s="7" t="n"/>
      <c r="Y107" s="7" t="n"/>
      <c r="Z107" s="7" t="n"/>
    </row>
    <row r="108" ht="21.75" customHeight="1" s="363">
      <c r="A108" s="124" t="inlineStr">
        <is>
          <t>T3 — Irene</t>
        </is>
      </c>
      <c r="B108" s="125" t="inlineStr">
        <is>
          <t>Therapist</t>
        </is>
      </c>
      <c r="C108" s="137" t="inlineStr">
        <is>
          <t>B</t>
        </is>
      </c>
      <c r="D108" s="127" t="inlineStr">
        <is>
          <t>A</t>
        </is>
      </c>
      <c r="E108" s="126" t="inlineStr">
        <is>
          <t>OFF</t>
        </is>
      </c>
      <c r="F108" s="126" t="inlineStr">
        <is>
          <t>OFF</t>
        </is>
      </c>
      <c r="G108" s="127" t="inlineStr">
        <is>
          <t>A</t>
        </is>
      </c>
      <c r="H108" s="137" t="inlineStr">
        <is>
          <t>B</t>
        </is>
      </c>
      <c r="I108" s="127" t="inlineStr">
        <is>
          <t>A</t>
        </is>
      </c>
      <c r="J108" s="128" t="n">
        <v>5</v>
      </c>
      <c r="K108" s="129" t="n"/>
      <c r="L108" s="130" t="inlineStr">
        <is>
          <t>Nora</t>
        </is>
      </c>
      <c r="M108" s="130" t="inlineStr">
        <is>
          <t>Therapist</t>
        </is>
      </c>
      <c r="N108" s="132" t="inlineStr">
        <is>
          <t>A</t>
        </is>
      </c>
      <c r="O108" s="132" t="inlineStr">
        <is>
          <t>A</t>
        </is>
      </c>
      <c r="P108" s="131" t="inlineStr">
        <is>
          <t>OFF</t>
        </is>
      </c>
      <c r="Q108" s="131" t="inlineStr">
        <is>
          <t>OFF</t>
        </is>
      </c>
      <c r="R108" s="132" t="inlineStr">
        <is>
          <t>A</t>
        </is>
      </c>
      <c r="S108" s="132" t="inlineStr">
        <is>
          <t>A</t>
        </is>
      </c>
      <c r="T108" s="132" t="inlineStr">
        <is>
          <t>A</t>
        </is>
      </c>
      <c r="U108" s="134" t="n">
        <v>5</v>
      </c>
      <c r="V108" s="7" t="n"/>
      <c r="W108" s="7" t="n"/>
      <c r="X108" s="7" t="n"/>
      <c r="Y108" s="7" t="n"/>
      <c r="Z108" s="7" t="n"/>
    </row>
    <row r="109" ht="21.75" customHeight="1" s="363">
      <c r="A109" s="135" t="inlineStr">
        <is>
          <t>R1 — Valentina</t>
        </is>
      </c>
      <c r="B109" s="136" t="inlineStr">
        <is>
          <t>Receptionist</t>
        </is>
      </c>
      <c r="C109" s="127" t="inlineStr">
        <is>
          <t>A</t>
        </is>
      </c>
      <c r="D109" s="127" t="inlineStr">
        <is>
          <t>A</t>
        </is>
      </c>
      <c r="E109" s="126" t="inlineStr">
        <is>
          <t>OFF</t>
        </is>
      </c>
      <c r="F109" s="126" t="inlineStr">
        <is>
          <t>OFF</t>
        </is>
      </c>
      <c r="G109" s="127" t="inlineStr">
        <is>
          <t>A</t>
        </is>
      </c>
      <c r="H109" s="127" t="inlineStr">
        <is>
          <t>A</t>
        </is>
      </c>
      <c r="I109" s="137" t="inlineStr">
        <is>
          <t>B</t>
        </is>
      </c>
      <c r="J109" s="128" t="n">
        <v>5</v>
      </c>
      <c r="K109" s="129" t="n"/>
      <c r="L109" s="130" t="inlineStr">
        <is>
          <t>Dara</t>
        </is>
      </c>
      <c r="M109" s="130" t="inlineStr">
        <is>
          <t>Therapist</t>
        </is>
      </c>
      <c r="N109" s="133" t="inlineStr">
        <is>
          <t>B</t>
        </is>
      </c>
      <c r="O109" s="133" t="inlineStr">
        <is>
          <t>B</t>
        </is>
      </c>
      <c r="P109" s="131" t="inlineStr">
        <is>
          <t>OFF</t>
        </is>
      </c>
      <c r="Q109" s="131" t="inlineStr">
        <is>
          <t>OFF</t>
        </is>
      </c>
      <c r="R109" s="133" t="inlineStr">
        <is>
          <t>B</t>
        </is>
      </c>
      <c r="S109" s="132" t="inlineStr">
        <is>
          <t>A</t>
        </is>
      </c>
      <c r="T109" s="133" t="inlineStr">
        <is>
          <t>B</t>
        </is>
      </c>
      <c r="U109" s="134" t="n">
        <v>5</v>
      </c>
      <c r="V109" s="7" t="n"/>
      <c r="W109" s="7" t="n"/>
      <c r="X109" s="7" t="n"/>
      <c r="Y109" s="7" t="n"/>
      <c r="Z109" s="7" t="n"/>
    </row>
    <row r="110" ht="21.75" customHeight="1" s="363">
      <c r="A110" s="124" t="inlineStr">
        <is>
          <t>RM2 — Lucas</t>
        </is>
      </c>
      <c r="B110" s="125" t="inlineStr">
        <is>
          <t>Reg. Manager</t>
        </is>
      </c>
      <c r="C110" s="138" t="inlineStr">
        <is>
          <t>—</t>
        </is>
      </c>
      <c r="D110" s="138" t="inlineStr">
        <is>
          <t>—</t>
        </is>
      </c>
      <c r="E110" s="127" t="inlineStr">
        <is>
          <t>A</t>
        </is>
      </c>
      <c r="F110" s="127" t="inlineStr">
        <is>
          <t>A</t>
        </is>
      </c>
      <c r="G110" s="126" t="inlineStr">
        <is>
          <t>OFF</t>
        </is>
      </c>
      <c r="H110" s="127" t="inlineStr">
        <is>
          <t>A</t>
        </is>
      </c>
      <c r="I110" s="126" t="inlineStr">
        <is>
          <t>OFF</t>
        </is>
      </c>
      <c r="J110" s="128" t="n">
        <v>3</v>
      </c>
      <c r="K110" s="129" t="n"/>
      <c r="L110" s="130" t="inlineStr">
        <is>
          <t>Lenara</t>
        </is>
      </c>
      <c r="M110" s="130" t="inlineStr">
        <is>
          <t>Advisor</t>
        </is>
      </c>
      <c r="N110" s="131" t="inlineStr">
        <is>
          <t>OFF</t>
        </is>
      </c>
      <c r="O110" s="132" t="inlineStr">
        <is>
          <t>A</t>
        </is>
      </c>
      <c r="P110" s="132" t="inlineStr">
        <is>
          <t>A</t>
        </is>
      </c>
      <c r="Q110" s="132" t="inlineStr">
        <is>
          <t>A</t>
        </is>
      </c>
      <c r="R110" s="132" t="inlineStr">
        <is>
          <t>A</t>
        </is>
      </c>
      <c r="S110" s="132" t="inlineStr">
        <is>
          <t>A</t>
        </is>
      </c>
      <c r="T110" s="131" t="inlineStr">
        <is>
          <t>OFF</t>
        </is>
      </c>
      <c r="U110" s="134" t="n">
        <v>5</v>
      </c>
      <c r="V110" s="7" t="n"/>
      <c r="W110" s="7" t="n"/>
      <c r="X110" s="7" t="n"/>
      <c r="Y110" s="7" t="n"/>
      <c r="Z110" s="7" t="n"/>
    </row>
    <row r="111" ht="7.5" customHeight="1" s="363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129" t="n"/>
      <c r="L111" s="130" t="inlineStr">
        <is>
          <t>Jovana</t>
        </is>
      </c>
      <c r="M111" s="130" t="inlineStr">
        <is>
          <t>Supervisor</t>
        </is>
      </c>
      <c r="N111" s="132" t="inlineStr">
        <is>
          <t>A</t>
        </is>
      </c>
      <c r="O111" s="132" t="inlineStr">
        <is>
          <t>A</t>
        </is>
      </c>
      <c r="P111" s="132" t="inlineStr">
        <is>
          <t>A</t>
        </is>
      </c>
      <c r="Q111" s="131" t="inlineStr">
        <is>
          <t>OFF</t>
        </is>
      </c>
      <c r="R111" s="132" t="inlineStr">
        <is>
          <t>A</t>
        </is>
      </c>
      <c r="S111" s="132" t="inlineStr">
        <is>
          <t>A</t>
        </is>
      </c>
      <c r="T111" s="131" t="inlineStr">
        <is>
          <t>OFF</t>
        </is>
      </c>
      <c r="U111" s="134" t="n">
        <v>5</v>
      </c>
      <c r="V111" s="7" t="n"/>
      <c r="W111" s="7" t="n"/>
      <c r="X111" s="7" t="n"/>
      <c r="Y111" s="7" t="n"/>
      <c r="Z111" s="7" t="n"/>
    </row>
    <row r="112" ht="19.5" customHeight="1" s="363">
      <c r="A112" s="411" t="inlineStr">
        <is>
          <t>Therapists on floor (min 1):</t>
        </is>
      </c>
      <c r="B112" s="399" t="n"/>
      <c r="C112" s="140" t="inlineStr">
        <is>
          <t>✓ 2</t>
        </is>
      </c>
      <c r="D112" s="140" t="inlineStr">
        <is>
          <t>✓ 1</t>
        </is>
      </c>
      <c r="E112" s="140" t="inlineStr">
        <is>
          <t>✓ 1</t>
        </is>
      </c>
      <c r="F112" s="140" t="inlineStr">
        <is>
          <t>✓ 2</t>
        </is>
      </c>
      <c r="G112" s="140" t="inlineStr">
        <is>
          <t>✓ 3</t>
        </is>
      </c>
      <c r="H112" s="140" t="inlineStr">
        <is>
          <t>✓ 3</t>
        </is>
      </c>
      <c r="I112" s="140" t="inlineStr">
        <is>
          <t>✓ 3</t>
        </is>
      </c>
      <c r="J112" s="5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9.5" customHeight="1" s="363">
      <c r="A113" s="411" t="inlineStr">
        <is>
          <t>Reception covered (min 1):</t>
        </is>
      </c>
      <c r="B113" s="399" t="n"/>
      <c r="C113" s="140" t="inlineStr">
        <is>
          <t>✓ 1</t>
        </is>
      </c>
      <c r="D113" s="140" t="inlineStr">
        <is>
          <t>✓ 1</t>
        </is>
      </c>
      <c r="E113" s="141" t="inlineStr">
        <is>
          <t>✗ 0</t>
        </is>
      </c>
      <c r="F113" s="141" t="inlineStr">
        <is>
          <t>✗ 0</t>
        </is>
      </c>
      <c r="G113" s="140" t="inlineStr">
        <is>
          <t>✓ 1</t>
        </is>
      </c>
      <c r="H113" s="140" t="inlineStr">
        <is>
          <t>✓ 1</t>
        </is>
      </c>
      <c r="I113" s="140" t="inlineStr">
        <is>
          <t>✓ 1</t>
        </is>
      </c>
      <c r="J113" s="5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9.5" customHeight="1" s="363">
      <c r="A114" s="411" t="inlineStr">
        <is>
          <t>Double shift coverage (A+B):</t>
        </is>
      </c>
      <c r="B114" s="399" t="n"/>
      <c r="C114" s="140" t="inlineStr">
        <is>
          <t>A+B ✓</t>
        </is>
      </c>
      <c r="D114" s="142" t="inlineStr">
        <is>
          <t>A only</t>
        </is>
      </c>
      <c r="E114" s="142" t="inlineStr">
        <is>
          <t>A only</t>
        </is>
      </c>
      <c r="F114" s="140" t="inlineStr">
        <is>
          <t>A+B ✓</t>
        </is>
      </c>
      <c r="G114" s="140" t="inlineStr">
        <is>
          <t>A+B ✓</t>
        </is>
      </c>
      <c r="H114" s="140" t="inlineStr">
        <is>
          <t>A+B ✓</t>
        </is>
      </c>
      <c r="I114" s="140" t="inlineStr">
        <is>
          <t>A+B ✓</t>
        </is>
      </c>
      <c r="J114" s="5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27.75" customHeight="1" s="363">
      <c r="A116" s="410" t="inlineStr">
        <is>
          <t>ROSTER 8 — NOVOTEL  (Tier 4 | 2 FT + 1 PT weekend + 0.33RM shared w/ Excelsior+Sliema)</t>
        </is>
      </c>
      <c r="B116" s="398" t="n"/>
      <c r="C116" s="398" t="n"/>
      <c r="D116" s="398" t="n"/>
      <c r="E116" s="398" t="n"/>
      <c r="F116" s="398" t="n"/>
      <c r="G116" s="398" t="n"/>
      <c r="H116" s="398" t="n"/>
      <c r="I116" s="398" t="n"/>
      <c r="J116" s="399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404" t="inlineStr">
        <is>
          <t>2026 Revenue: €14,000/mo (ex-VAT)  |  HC Budget (35%): €4,900  |  2 FT + 0.33RM: €3,561/mo  |  PT Fri+Sat+Sun: €1,092/mo  |  Total staffing: €4,653 (budget surplus: +€247)</t>
        </is>
      </c>
      <c r="B117" s="398" t="n"/>
      <c r="C117" s="398" t="n"/>
      <c r="D117" s="398" t="n"/>
      <c r="E117" s="398" t="n"/>
      <c r="F117" s="398" t="n"/>
      <c r="G117" s="398" t="n"/>
      <c r="H117" s="398" t="n"/>
      <c r="I117" s="398" t="n"/>
      <c r="J117" s="399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21.75" customHeight="1" s="363">
      <c r="A118" s="120" t="inlineStr">
        <is>
          <t>STAFF</t>
        </is>
      </c>
      <c r="B118" s="120" t="inlineStr">
        <is>
          <t>ROLE</t>
        </is>
      </c>
      <c r="C118" s="120" t="inlineStr">
        <is>
          <t>MON</t>
        </is>
      </c>
      <c r="D118" s="120" t="inlineStr">
        <is>
          <t>TUE</t>
        </is>
      </c>
      <c r="E118" s="120" t="inlineStr">
        <is>
          <t>WED</t>
        </is>
      </c>
      <c r="F118" s="120" t="inlineStr">
        <is>
          <t>THU</t>
        </is>
      </c>
      <c r="G118" s="121" t="inlineStr">
        <is>
          <t>FRI ★</t>
        </is>
      </c>
      <c r="H118" s="121" t="inlineStr">
        <is>
          <t>SAT ★</t>
        </is>
      </c>
      <c r="I118" s="121" t="inlineStr">
        <is>
          <t>SUN ★</t>
        </is>
      </c>
      <c r="J118" s="120" t="inlineStr">
        <is>
          <t>DAYS ON</t>
        </is>
      </c>
      <c r="K118" s="122" t="inlineStr">
        <is>
          <t>║ ACTUALS (APR 2026)</t>
        </is>
      </c>
      <c r="L118" s="123" t="inlineStr">
        <is>
          <t>STAFF (ACTUAL)</t>
        </is>
      </c>
      <c r="M118" s="123" t="inlineStr">
        <is>
          <t>ROLE</t>
        </is>
      </c>
      <c r="N118" s="123" t="inlineStr">
        <is>
          <t>MON</t>
        </is>
      </c>
      <c r="O118" s="123" t="inlineStr">
        <is>
          <t>TUE</t>
        </is>
      </c>
      <c r="P118" s="123" t="inlineStr">
        <is>
          <t>WED</t>
        </is>
      </c>
      <c r="Q118" s="123" t="inlineStr">
        <is>
          <t>THU</t>
        </is>
      </c>
      <c r="R118" s="123" t="inlineStr">
        <is>
          <t>FRI ★</t>
        </is>
      </c>
      <c r="S118" s="123" t="inlineStr">
        <is>
          <t>SAT ★</t>
        </is>
      </c>
      <c r="T118" s="123" t="inlineStr">
        <is>
          <t>SUN ★</t>
        </is>
      </c>
      <c r="U118" s="123" t="inlineStr">
        <is>
          <t>DAYS ON</t>
        </is>
      </c>
      <c r="V118" s="7" t="n"/>
      <c r="W118" s="7" t="n"/>
      <c r="X118" s="7" t="n"/>
      <c r="Y118" s="7" t="n"/>
      <c r="Z118" s="7" t="n"/>
    </row>
    <row r="119" ht="21.75" customHeight="1" s="363">
      <c r="A119" s="124" t="inlineStr">
        <is>
          <t>T1 — Chiara</t>
        </is>
      </c>
      <c r="B119" s="125" t="inlineStr">
        <is>
          <t>Therapist</t>
        </is>
      </c>
      <c r="C119" s="126" t="inlineStr">
        <is>
          <t>OFF</t>
        </is>
      </c>
      <c r="D119" s="126" t="inlineStr">
        <is>
          <t>OFF</t>
        </is>
      </c>
      <c r="E119" s="127" t="inlineStr">
        <is>
          <t>A</t>
        </is>
      </c>
      <c r="F119" s="137" t="inlineStr">
        <is>
          <t>B</t>
        </is>
      </c>
      <c r="G119" s="127" t="inlineStr">
        <is>
          <t>A</t>
        </is>
      </c>
      <c r="H119" s="127" t="inlineStr">
        <is>
          <t>A</t>
        </is>
      </c>
      <c r="I119" s="137" t="inlineStr">
        <is>
          <t>B</t>
        </is>
      </c>
      <c r="J119" s="128" t="n">
        <v>5</v>
      </c>
      <c r="K119" s="129" t="n"/>
      <c r="L119" s="130" t="inlineStr">
        <is>
          <t>Lara</t>
        </is>
      </c>
      <c r="M119" s="130" t="inlineStr">
        <is>
          <t>Therapist</t>
        </is>
      </c>
      <c r="N119" s="131" t="inlineStr">
        <is>
          <t>OFF</t>
        </is>
      </c>
      <c r="O119" s="131" t="inlineStr">
        <is>
          <t>OFF</t>
        </is>
      </c>
      <c r="P119" s="132" t="inlineStr">
        <is>
          <t>A</t>
        </is>
      </c>
      <c r="Q119" s="132" t="inlineStr">
        <is>
          <t>A</t>
        </is>
      </c>
      <c r="R119" s="132" t="inlineStr">
        <is>
          <t>A</t>
        </is>
      </c>
      <c r="S119" s="132" t="inlineStr">
        <is>
          <t>A</t>
        </is>
      </c>
      <c r="T119" s="133" t="inlineStr">
        <is>
          <t>B</t>
        </is>
      </c>
      <c r="U119" s="134" t="n">
        <v>5</v>
      </c>
      <c r="V119" s="7" t="n"/>
      <c r="W119" s="7" t="n"/>
      <c r="X119" s="7" t="n"/>
      <c r="Y119" s="7" t="n"/>
      <c r="Z119" s="7" t="n"/>
    </row>
    <row r="120" ht="21.75" customHeight="1" s="363">
      <c r="A120" s="135" t="inlineStr">
        <is>
          <t>T2 — Bianca</t>
        </is>
      </c>
      <c r="B120" s="136" t="inlineStr">
        <is>
          <t>Therapist</t>
        </is>
      </c>
      <c r="C120" s="137" t="inlineStr">
        <is>
          <t>B</t>
        </is>
      </c>
      <c r="D120" s="127" t="inlineStr">
        <is>
          <t>A</t>
        </is>
      </c>
      <c r="E120" s="126" t="inlineStr">
        <is>
          <t>OFF</t>
        </is>
      </c>
      <c r="F120" s="126" t="inlineStr">
        <is>
          <t>OFF</t>
        </is>
      </c>
      <c r="G120" s="137" t="inlineStr">
        <is>
          <t>B</t>
        </is>
      </c>
      <c r="H120" s="137" t="inlineStr">
        <is>
          <t>B</t>
        </is>
      </c>
      <c r="I120" s="127" t="inlineStr">
        <is>
          <t>A</t>
        </is>
      </c>
      <c r="J120" s="128" t="n">
        <v>5</v>
      </c>
      <c r="K120" s="129" t="n"/>
      <c r="L120" s="130" t="inlineStr">
        <is>
          <t>Zara</t>
        </is>
      </c>
      <c r="M120" s="130" t="inlineStr">
        <is>
          <t>Therapist</t>
        </is>
      </c>
      <c r="N120" s="132" t="inlineStr">
        <is>
          <t>A</t>
        </is>
      </c>
      <c r="O120" s="132" t="inlineStr">
        <is>
          <t>A</t>
        </is>
      </c>
      <c r="P120" s="131" t="inlineStr">
        <is>
          <t>OFF</t>
        </is>
      </c>
      <c r="Q120" s="131" t="inlineStr">
        <is>
          <t>OFF</t>
        </is>
      </c>
      <c r="R120" s="132" t="inlineStr">
        <is>
          <t>A</t>
        </is>
      </c>
      <c r="S120" s="132" t="inlineStr">
        <is>
          <t>A</t>
        </is>
      </c>
      <c r="T120" s="132" t="inlineStr">
        <is>
          <t>A</t>
        </is>
      </c>
      <c r="U120" s="134" t="n">
        <v>5</v>
      </c>
      <c r="V120" s="7" t="n"/>
      <c r="W120" s="7" t="n"/>
      <c r="X120" s="7" t="n"/>
      <c r="Y120" s="7" t="n"/>
      <c r="Z120" s="7" t="n"/>
    </row>
    <row r="121" ht="21.75" customHeight="1" s="363">
      <c r="A121" s="124" t="inlineStr">
        <is>
          <t>PT1 — Rosaria (PT)</t>
        </is>
      </c>
      <c r="B121" s="125" t="inlineStr">
        <is>
          <t>Therapist (PT)</t>
        </is>
      </c>
      <c r="C121" s="126" t="inlineStr">
        <is>
          <t>OFF</t>
        </is>
      </c>
      <c r="D121" s="126" t="inlineStr">
        <is>
          <t>OFF</t>
        </is>
      </c>
      <c r="E121" s="126" t="inlineStr">
        <is>
          <t>OFF</t>
        </is>
      </c>
      <c r="F121" s="126" t="inlineStr">
        <is>
          <t>OFF</t>
        </is>
      </c>
      <c r="G121" s="127" t="inlineStr">
        <is>
          <t>A</t>
        </is>
      </c>
      <c r="H121" s="127" t="inlineStr">
        <is>
          <t>A</t>
        </is>
      </c>
      <c r="I121" s="127" t="inlineStr">
        <is>
          <t>A</t>
        </is>
      </c>
      <c r="J121" s="128" t="n">
        <v>3</v>
      </c>
      <c r="K121" s="129" t="n"/>
      <c r="L121" s="130" t="inlineStr">
        <is>
          <t>Daniela</t>
        </is>
      </c>
      <c r="M121" s="130" t="inlineStr">
        <is>
          <t>Advisor</t>
        </is>
      </c>
      <c r="N121" s="131" t="inlineStr">
        <is>
          <t>OFF</t>
        </is>
      </c>
      <c r="O121" s="132" t="inlineStr">
        <is>
          <t>A</t>
        </is>
      </c>
      <c r="P121" s="132" t="inlineStr">
        <is>
          <t>A</t>
        </is>
      </c>
      <c r="Q121" s="132" t="inlineStr">
        <is>
          <t>A</t>
        </is>
      </c>
      <c r="R121" s="132" t="inlineStr">
        <is>
          <t>A</t>
        </is>
      </c>
      <c r="S121" s="132" t="inlineStr">
        <is>
          <t>A</t>
        </is>
      </c>
      <c r="T121" s="131" t="inlineStr">
        <is>
          <t>OFF</t>
        </is>
      </c>
      <c r="U121" s="134" t="n">
        <v>5</v>
      </c>
      <c r="V121" s="7" t="n"/>
      <c r="W121" s="7" t="n"/>
      <c r="X121" s="7" t="n"/>
      <c r="Y121" s="7" t="n"/>
      <c r="Z121" s="7" t="n"/>
    </row>
    <row r="122" ht="21.75" customHeight="1" s="363">
      <c r="A122" s="135" t="inlineStr">
        <is>
          <t>RM3 — Morgan</t>
        </is>
      </c>
      <c r="B122" s="136" t="inlineStr">
        <is>
          <t>Reg. Manager</t>
        </is>
      </c>
      <c r="C122" s="138" t="inlineStr">
        <is>
          <t>—</t>
        </is>
      </c>
      <c r="D122" s="138" t="inlineStr">
        <is>
          <t>—</t>
        </is>
      </c>
      <c r="E122" s="138" t="inlineStr">
        <is>
          <t>—</t>
        </is>
      </c>
      <c r="F122" s="138" t="inlineStr">
        <is>
          <t>—</t>
        </is>
      </c>
      <c r="G122" s="126" t="inlineStr">
        <is>
          <t>OFF</t>
        </is>
      </c>
      <c r="H122" s="127" t="inlineStr">
        <is>
          <t>A</t>
        </is>
      </c>
      <c r="I122" s="126" t="inlineStr">
        <is>
          <t>OFF</t>
        </is>
      </c>
      <c r="J122" s="128" t="n">
        <v>1</v>
      </c>
      <c r="K122" s="129" t="n"/>
      <c r="L122" s="130" t="inlineStr">
        <is>
          <t>Natasha</t>
        </is>
      </c>
      <c r="M122" s="130" t="inlineStr">
        <is>
          <t>Supervisor</t>
        </is>
      </c>
      <c r="N122" s="132" t="inlineStr">
        <is>
          <t>A</t>
        </is>
      </c>
      <c r="O122" s="132" t="inlineStr">
        <is>
          <t>A</t>
        </is>
      </c>
      <c r="P122" s="132" t="inlineStr">
        <is>
          <t>A</t>
        </is>
      </c>
      <c r="Q122" s="131" t="inlineStr">
        <is>
          <t>OFF</t>
        </is>
      </c>
      <c r="R122" s="132" t="inlineStr">
        <is>
          <t>A</t>
        </is>
      </c>
      <c r="S122" s="132" t="inlineStr">
        <is>
          <t>A</t>
        </is>
      </c>
      <c r="T122" s="131" t="inlineStr">
        <is>
          <t>OFF</t>
        </is>
      </c>
      <c r="U122" s="134" t="n">
        <v>5</v>
      </c>
      <c r="V122" s="7" t="n"/>
      <c r="W122" s="7" t="n"/>
      <c r="X122" s="7" t="n"/>
      <c r="Y122" s="7" t="n"/>
      <c r="Z122" s="7" t="n"/>
    </row>
    <row r="123" ht="7.5" customHeight="1" s="36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9.5" customHeight="1" s="363">
      <c r="A124" s="411" t="inlineStr">
        <is>
          <t>Therapists on floor (min 1):</t>
        </is>
      </c>
      <c r="B124" s="399" t="n"/>
      <c r="C124" s="140" t="inlineStr">
        <is>
          <t>✓ 1</t>
        </is>
      </c>
      <c r="D124" s="140" t="inlineStr">
        <is>
          <t>✓ 1</t>
        </is>
      </c>
      <c r="E124" s="140" t="inlineStr">
        <is>
          <t>✓ 1</t>
        </is>
      </c>
      <c r="F124" s="140" t="inlineStr">
        <is>
          <t>✓ 1</t>
        </is>
      </c>
      <c r="G124" s="140" t="inlineStr">
        <is>
          <t>✓ 3</t>
        </is>
      </c>
      <c r="H124" s="140" t="inlineStr">
        <is>
          <t>✓ 3</t>
        </is>
      </c>
      <c r="I124" s="140" t="inlineStr">
        <is>
          <t>✓ 3</t>
        </is>
      </c>
      <c r="J124" s="5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9.5" customHeight="1" s="363">
      <c r="A125" s="411" t="inlineStr">
        <is>
          <t>Double shift coverage (A+B):</t>
        </is>
      </c>
      <c r="B125" s="399" t="n"/>
      <c r="C125" s="142" t="inlineStr">
        <is>
          <t>B only</t>
        </is>
      </c>
      <c r="D125" s="142" t="inlineStr">
        <is>
          <t>A only</t>
        </is>
      </c>
      <c r="E125" s="142" t="inlineStr">
        <is>
          <t>A only</t>
        </is>
      </c>
      <c r="F125" s="142" t="inlineStr">
        <is>
          <t>B only</t>
        </is>
      </c>
      <c r="G125" s="140" t="inlineStr">
        <is>
          <t>A+B ✓</t>
        </is>
      </c>
      <c r="H125" s="140" t="inlineStr">
        <is>
          <t>A+B ✓</t>
        </is>
      </c>
      <c r="I125" s="140" t="inlineStr">
        <is>
          <t>A+B ✓</t>
        </is>
      </c>
      <c r="J125" s="5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27.75" customHeight="1" s="363">
      <c r="A127" s="410" t="inlineStr">
        <is>
          <t>ROSTER 9 — SLIEMA (NEW | INA Acquisition)  (Tier 3 | 2T + 1R + 0.33RM shared w/ Excelsior+Novotel)</t>
        </is>
      </c>
      <c r="B127" s="398" t="n"/>
      <c r="C127" s="398" t="n"/>
      <c r="D127" s="398" t="n"/>
      <c r="E127" s="398" t="n"/>
      <c r="F127" s="398" t="n"/>
      <c r="G127" s="398" t="n"/>
      <c r="H127" s="398" t="n"/>
      <c r="I127" s="398" t="n"/>
      <c r="J127" s="399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404" t="inlineStr">
        <is>
          <t>INA 2025: €426,018/yr ex-VAT → €41,667/mo avg  |  Projected 2026: €500,000/yr  |  HC Budget (35%): €14,583  |  Base Cost: €4,961 (0.33RM shared)  |  Surplus: +€9,622/mo  |  RM3 covers Wed+Thu reception | A+B double coverage on Fri/Sat/Sun: T1=A+T2=B (Fri/Sat), T1=B+T2=A (Sun)</t>
        </is>
      </c>
      <c r="B128" s="398" t="n"/>
      <c r="C128" s="398" t="n"/>
      <c r="D128" s="398" t="n"/>
      <c r="E128" s="398" t="n"/>
      <c r="F128" s="398" t="n"/>
      <c r="G128" s="398" t="n"/>
      <c r="H128" s="398" t="n"/>
      <c r="I128" s="398" t="n"/>
      <c r="J128" s="399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21.75" customHeight="1" s="363">
      <c r="A129" s="120" t="inlineStr">
        <is>
          <t>STAFF</t>
        </is>
      </c>
      <c r="B129" s="120" t="inlineStr">
        <is>
          <t>ROLE</t>
        </is>
      </c>
      <c r="C129" s="120" t="inlineStr">
        <is>
          <t>MON</t>
        </is>
      </c>
      <c r="D129" s="120" t="inlineStr">
        <is>
          <t>TUE</t>
        </is>
      </c>
      <c r="E129" s="120" t="inlineStr">
        <is>
          <t>WED</t>
        </is>
      </c>
      <c r="F129" s="120" t="inlineStr">
        <is>
          <t>THU</t>
        </is>
      </c>
      <c r="G129" s="121" t="inlineStr">
        <is>
          <t>FRI ★</t>
        </is>
      </c>
      <c r="H129" s="121" t="inlineStr">
        <is>
          <t>SAT ★</t>
        </is>
      </c>
      <c r="I129" s="121" t="inlineStr">
        <is>
          <t>SUN ★</t>
        </is>
      </c>
      <c r="J129" s="120" t="inlineStr">
        <is>
          <t>DAYS ON</t>
        </is>
      </c>
      <c r="K129" s="122" t="inlineStr">
        <is>
          <t>║ ACTUALS (APR 2026)</t>
        </is>
      </c>
      <c r="L129" s="123" t="inlineStr">
        <is>
          <t>STAFF (ACTUAL)</t>
        </is>
      </c>
      <c r="M129" s="123" t="inlineStr">
        <is>
          <t>ROLE</t>
        </is>
      </c>
      <c r="N129" s="123" t="inlineStr">
        <is>
          <t>MON</t>
        </is>
      </c>
      <c r="O129" s="123" t="inlineStr">
        <is>
          <t>TUE</t>
        </is>
      </c>
      <c r="P129" s="123" t="inlineStr">
        <is>
          <t>WED</t>
        </is>
      </c>
      <c r="Q129" s="123" t="inlineStr">
        <is>
          <t>THU</t>
        </is>
      </c>
      <c r="R129" s="123" t="inlineStr">
        <is>
          <t>FRI ★</t>
        </is>
      </c>
      <c r="S129" s="123" t="inlineStr">
        <is>
          <t>SAT ★</t>
        </is>
      </c>
      <c r="T129" s="123" t="inlineStr">
        <is>
          <t>SUN ★</t>
        </is>
      </c>
      <c r="U129" s="123" t="inlineStr">
        <is>
          <t>DAYS ON</t>
        </is>
      </c>
      <c r="V129" s="7" t="n"/>
      <c r="W129" s="7" t="n"/>
      <c r="X129" s="7" t="n"/>
      <c r="Y129" s="7" t="n"/>
      <c r="Z129" s="7" t="n"/>
    </row>
    <row r="130" ht="21.75" customHeight="1" s="363">
      <c r="A130" s="124" t="inlineStr">
        <is>
          <t>T1 — Amara</t>
        </is>
      </c>
      <c r="B130" s="125" t="inlineStr">
        <is>
          <t>Therapist</t>
        </is>
      </c>
      <c r="C130" s="127" t="inlineStr">
        <is>
          <t>A</t>
        </is>
      </c>
      <c r="D130" s="126" t="inlineStr">
        <is>
          <t>OFF</t>
        </is>
      </c>
      <c r="E130" s="126" t="inlineStr">
        <is>
          <t>OFF</t>
        </is>
      </c>
      <c r="F130" s="137" t="inlineStr">
        <is>
          <t>B</t>
        </is>
      </c>
      <c r="G130" s="127" t="inlineStr">
        <is>
          <t>A</t>
        </is>
      </c>
      <c r="H130" s="127" t="inlineStr">
        <is>
          <t>A</t>
        </is>
      </c>
      <c r="I130" s="137" t="inlineStr">
        <is>
          <t>B</t>
        </is>
      </c>
      <c r="J130" s="128" t="n">
        <v>5</v>
      </c>
      <c r="K130" s="129" t="n"/>
      <c r="L130" s="130" t="inlineStr">
        <is>
          <t>— Opening May 2026 —</t>
        </is>
      </c>
      <c r="M130" s="130" t="n"/>
      <c r="N130" s="35" t="n"/>
      <c r="O130" s="35" t="n"/>
      <c r="P130" s="35" t="n"/>
      <c r="Q130" s="35" t="n"/>
      <c r="R130" s="35" t="n"/>
      <c r="S130" s="35" t="n"/>
      <c r="T130" s="35" t="n"/>
      <c r="U130" s="134" t="n"/>
      <c r="V130" s="7" t="n"/>
      <c r="W130" s="7" t="n"/>
      <c r="X130" s="7" t="n"/>
      <c r="Y130" s="7" t="n"/>
      <c r="Z130" s="7" t="n"/>
    </row>
    <row r="131" ht="21.75" customHeight="1" s="363">
      <c r="A131" s="135" t="inlineStr">
        <is>
          <t>T2 — Rania</t>
        </is>
      </c>
      <c r="B131" s="136" t="inlineStr">
        <is>
          <t>Therapist</t>
        </is>
      </c>
      <c r="C131" s="126" t="inlineStr">
        <is>
          <t>OFF</t>
        </is>
      </c>
      <c r="D131" s="127" t="inlineStr">
        <is>
          <t>A</t>
        </is>
      </c>
      <c r="E131" s="127" t="inlineStr">
        <is>
          <t>A</t>
        </is>
      </c>
      <c r="F131" s="126" t="inlineStr">
        <is>
          <t>OFF</t>
        </is>
      </c>
      <c r="G131" s="137" t="inlineStr">
        <is>
          <t>B</t>
        </is>
      </c>
      <c r="H131" s="137" t="inlineStr">
        <is>
          <t>B</t>
        </is>
      </c>
      <c r="I131" s="127" t="inlineStr">
        <is>
          <t>A</t>
        </is>
      </c>
      <c r="J131" s="128" t="n">
        <v>5</v>
      </c>
      <c r="K131" s="129" t="n"/>
      <c r="L131" s="130" t="inlineStr">
        <is>
          <t>TBA</t>
        </is>
      </c>
      <c r="M131" s="130" t="inlineStr">
        <is>
          <t>Therapist</t>
        </is>
      </c>
      <c r="N131" s="35" t="n"/>
      <c r="O131" s="35" t="n"/>
      <c r="P131" s="35" t="n"/>
      <c r="Q131" s="35" t="n"/>
      <c r="R131" s="35" t="n"/>
      <c r="S131" s="35" t="n"/>
      <c r="T131" s="35" t="n"/>
      <c r="U131" s="134" t="n">
        <v>0</v>
      </c>
      <c r="V131" s="7" t="n"/>
      <c r="W131" s="7" t="n"/>
      <c r="X131" s="7" t="n"/>
      <c r="Y131" s="7" t="n"/>
      <c r="Z131" s="7" t="n"/>
    </row>
    <row r="132" ht="21.75" customHeight="1" s="363">
      <c r="A132" s="124" t="inlineStr">
        <is>
          <t>R1 — Chloe</t>
        </is>
      </c>
      <c r="B132" s="125" t="inlineStr">
        <is>
          <t>Receptionist</t>
        </is>
      </c>
      <c r="C132" s="127" t="inlineStr">
        <is>
          <t>A</t>
        </is>
      </c>
      <c r="D132" s="127" t="inlineStr">
        <is>
          <t>A</t>
        </is>
      </c>
      <c r="E132" s="126" t="inlineStr">
        <is>
          <t>OFF</t>
        </is>
      </c>
      <c r="F132" s="126" t="inlineStr">
        <is>
          <t>OFF</t>
        </is>
      </c>
      <c r="G132" s="127" t="inlineStr">
        <is>
          <t>A</t>
        </is>
      </c>
      <c r="H132" s="127" t="inlineStr">
        <is>
          <t>A</t>
        </is>
      </c>
      <c r="I132" s="137" t="inlineStr">
        <is>
          <t>B</t>
        </is>
      </c>
      <c r="J132" s="128" t="n">
        <v>5</v>
      </c>
      <c r="K132" s="129" t="n"/>
      <c r="L132" s="130" t="inlineStr">
        <is>
          <t>TBA</t>
        </is>
      </c>
      <c r="M132" s="130" t="inlineStr">
        <is>
          <t>Therapist</t>
        </is>
      </c>
      <c r="N132" s="35" t="n"/>
      <c r="O132" s="35" t="n"/>
      <c r="P132" s="35" t="n"/>
      <c r="Q132" s="35" t="n"/>
      <c r="R132" s="35" t="n"/>
      <c r="S132" s="35" t="n"/>
      <c r="T132" s="35" t="n"/>
      <c r="U132" s="134" t="n">
        <v>0</v>
      </c>
      <c r="V132" s="7" t="n"/>
      <c r="W132" s="7" t="n"/>
      <c r="X132" s="7" t="n"/>
      <c r="Y132" s="7" t="n"/>
      <c r="Z132" s="7" t="n"/>
    </row>
    <row r="133" ht="21.75" customHeight="1" s="363">
      <c r="A133" s="135" t="inlineStr">
        <is>
          <t>RM3 — Morgan</t>
        </is>
      </c>
      <c r="B133" s="136" t="inlineStr">
        <is>
          <t>Reg. Manager</t>
        </is>
      </c>
      <c r="C133" s="138" t="inlineStr">
        <is>
          <t>—</t>
        </is>
      </c>
      <c r="D133" s="138" t="inlineStr">
        <is>
          <t>—</t>
        </is>
      </c>
      <c r="E133" s="127" t="inlineStr">
        <is>
          <t>A</t>
        </is>
      </c>
      <c r="F133" s="127" t="inlineStr">
        <is>
          <t>A</t>
        </is>
      </c>
      <c r="G133" s="126" t="inlineStr">
        <is>
          <t>OFF</t>
        </is>
      </c>
      <c r="H133" s="127" t="inlineStr">
        <is>
          <t>A</t>
        </is>
      </c>
      <c r="I133" s="126" t="inlineStr">
        <is>
          <t>OFF</t>
        </is>
      </c>
      <c r="J133" s="128" t="n">
        <v>3</v>
      </c>
      <c r="K133" s="129" t="n"/>
      <c r="L133" s="130" t="inlineStr">
        <is>
          <t>TBA</t>
        </is>
      </c>
      <c r="M133" s="130" t="inlineStr">
        <is>
          <t>Supervisor</t>
        </is>
      </c>
      <c r="N133" s="35" t="n"/>
      <c r="O133" s="35" t="n"/>
      <c r="P133" s="35" t="n"/>
      <c r="Q133" s="35" t="n"/>
      <c r="R133" s="35" t="n"/>
      <c r="S133" s="35" t="n"/>
      <c r="T133" s="35" t="n"/>
      <c r="U133" s="134" t="n">
        <v>0</v>
      </c>
      <c r="V133" s="7" t="n"/>
      <c r="W133" s="7" t="n"/>
      <c r="X133" s="7" t="n"/>
      <c r="Y133" s="7" t="n"/>
      <c r="Z133" s="7" t="n"/>
    </row>
    <row r="134" ht="7.5" customHeight="1" s="363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9.5" customHeight="1" s="363">
      <c r="A135" s="411" t="inlineStr">
        <is>
          <t>Therapists on floor (min 1):</t>
        </is>
      </c>
      <c r="B135" s="399" t="n"/>
      <c r="C135" s="140" t="inlineStr">
        <is>
          <t>✓ 1</t>
        </is>
      </c>
      <c r="D135" s="140" t="inlineStr">
        <is>
          <t>✓ 1</t>
        </is>
      </c>
      <c r="E135" s="140" t="inlineStr">
        <is>
          <t>✓ 1</t>
        </is>
      </c>
      <c r="F135" s="140" t="inlineStr">
        <is>
          <t>✓ 1</t>
        </is>
      </c>
      <c r="G135" s="140" t="inlineStr">
        <is>
          <t>✓ 2</t>
        </is>
      </c>
      <c r="H135" s="140" t="inlineStr">
        <is>
          <t>✓ 2</t>
        </is>
      </c>
      <c r="I135" s="140" t="inlineStr">
        <is>
          <t>✓ 2</t>
        </is>
      </c>
      <c r="J135" s="5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9.5" customHeight="1" s="363">
      <c r="A136" s="411" t="inlineStr">
        <is>
          <t>Reception covered (min 1):</t>
        </is>
      </c>
      <c r="B136" s="399" t="n"/>
      <c r="C136" s="140" t="inlineStr">
        <is>
          <t>✓ 1</t>
        </is>
      </c>
      <c r="D136" s="140" t="inlineStr">
        <is>
          <t>✓ 1</t>
        </is>
      </c>
      <c r="E136" s="141" t="inlineStr">
        <is>
          <t>✗ 0</t>
        </is>
      </c>
      <c r="F136" s="141" t="inlineStr">
        <is>
          <t>✗ 0</t>
        </is>
      </c>
      <c r="G136" s="140" t="inlineStr">
        <is>
          <t>✓ 1</t>
        </is>
      </c>
      <c r="H136" s="140" t="inlineStr">
        <is>
          <t>✓ 1</t>
        </is>
      </c>
      <c r="I136" s="140" t="inlineStr">
        <is>
          <t>✓ 1</t>
        </is>
      </c>
      <c r="J136" s="5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9.5" customHeight="1" s="363">
      <c r="A137" s="411" t="inlineStr">
        <is>
          <t>Double shift coverage (A+B):</t>
        </is>
      </c>
      <c r="B137" s="399" t="n"/>
      <c r="C137" s="142" t="inlineStr">
        <is>
          <t>A only</t>
        </is>
      </c>
      <c r="D137" s="142" t="inlineStr">
        <is>
          <t>A only</t>
        </is>
      </c>
      <c r="E137" s="142" t="inlineStr">
        <is>
          <t>A only</t>
        </is>
      </c>
      <c r="F137" s="140" t="inlineStr">
        <is>
          <t>A+B ✓</t>
        </is>
      </c>
      <c r="G137" s="140" t="inlineStr">
        <is>
          <t>A+B ✓</t>
        </is>
      </c>
      <c r="H137" s="140" t="inlineStr">
        <is>
          <t>A+B ✓</t>
        </is>
      </c>
      <c r="I137" s="140" t="inlineStr">
        <is>
          <t>A+B ✓</t>
        </is>
      </c>
      <c r="J137" s="5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27.75" customHeight="1" s="363">
      <c r="A139" s="410" t="inlineStr">
        <is>
          <t>SHIFT HOURS SUMMARY</t>
        </is>
      </c>
      <c r="B139" s="398" t="n"/>
      <c r="C139" s="398" t="n"/>
      <c r="D139" s="398" t="n"/>
      <c r="E139" s="398" t="n"/>
      <c r="F139" s="398" t="n"/>
      <c r="G139" s="398" t="n"/>
      <c r="H139" s="398" t="n"/>
      <c r="I139" s="398" t="n"/>
      <c r="J139" s="399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404" t="inlineStr">
        <is>
          <t>Reference guide for all rosters</t>
        </is>
      </c>
      <c r="B140" s="398" t="n"/>
      <c r="C140" s="398" t="n"/>
      <c r="D140" s="398" t="n"/>
      <c r="E140" s="398" t="n"/>
      <c r="F140" s="398" t="n"/>
      <c r="G140" s="398" t="n"/>
      <c r="H140" s="398" t="n"/>
      <c r="I140" s="398" t="n"/>
      <c r="J140" s="399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9.5" customHeight="1" s="363">
      <c r="A141" s="90" t="inlineStr">
        <is>
          <t>Shift</t>
        </is>
      </c>
      <c r="B141" s="90" t="inlineStr">
        <is>
          <t>Start</t>
        </is>
      </c>
      <c r="C141" s="90" t="inlineStr">
        <is>
          <t>Finish</t>
        </is>
      </c>
      <c r="D141" s="90" t="inlineStr">
        <is>
          <t>Break (unpaid)</t>
        </is>
      </c>
      <c r="E141" s="90" t="inlineStr">
        <is>
          <t>Productive hrs</t>
        </is>
      </c>
      <c r="F141" s="90" t="inlineStr">
        <is>
          <t>Weekly hrs</t>
        </is>
      </c>
      <c r="G141" s="57" t="n"/>
      <c r="H141" s="57" t="n"/>
      <c r="I141" s="57" t="n"/>
      <c r="J141" s="5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8" customHeight="1" s="363">
      <c r="A142" s="143" t="inlineStr">
        <is>
          <t>A — Early</t>
        </is>
      </c>
      <c r="B142" s="143" t="inlineStr">
        <is>
          <t>09:00</t>
        </is>
      </c>
      <c r="C142" s="143" t="inlineStr">
        <is>
          <t>18:00</t>
        </is>
      </c>
      <c r="D142" s="143" t="inlineStr">
        <is>
          <t>1 hr</t>
        </is>
      </c>
      <c r="E142" s="143" t="inlineStr">
        <is>
          <t>8 hrs</t>
        </is>
      </c>
      <c r="F142" s="143" t="inlineStr">
        <is>
          <t>40 hrs (5d)</t>
        </is>
      </c>
      <c r="G142" s="57" t="n"/>
      <c r="H142" s="57" t="n"/>
      <c r="I142" s="57" t="n"/>
      <c r="J142" s="5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8" customHeight="1" s="363">
      <c r="A143" s="143" t="inlineStr">
        <is>
          <t>B — Late</t>
        </is>
      </c>
      <c r="B143" s="143" t="inlineStr">
        <is>
          <t>11:00</t>
        </is>
      </c>
      <c r="C143" s="143" t="inlineStr">
        <is>
          <t>20:00</t>
        </is>
      </c>
      <c r="D143" s="143" t="inlineStr">
        <is>
          <t>1 hr</t>
        </is>
      </c>
      <c r="E143" s="143" t="inlineStr">
        <is>
          <t>8 hrs</t>
        </is>
      </c>
      <c r="F143" s="143" t="inlineStr">
        <is>
          <t>40 hrs (5d)</t>
        </is>
      </c>
      <c r="G143" s="57" t="n"/>
      <c r="H143" s="57" t="n"/>
      <c r="I143" s="57" t="n"/>
      <c r="J143" s="5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8" customHeight="1" s="363">
      <c r="A144" s="143" t="inlineStr">
        <is>
          <t>PT — Weekend</t>
        </is>
      </c>
      <c r="B144" s="143" t="inlineStr">
        <is>
          <t>09:00</t>
        </is>
      </c>
      <c r="C144" s="143" t="inlineStr">
        <is>
          <t>18:00 or 11:00–20:00</t>
        </is>
      </c>
      <c r="D144" s="143" t="inlineStr">
        <is>
          <t>1 hr</t>
        </is>
      </c>
      <c r="E144" s="143" t="inlineStr">
        <is>
          <t>8 hrs</t>
        </is>
      </c>
      <c r="F144" s="143" t="inlineStr">
        <is>
          <t>24 hrs (3d)</t>
        </is>
      </c>
      <c r="G144" s="57" t="n"/>
      <c r="H144" s="57" t="n"/>
      <c r="I144" s="57" t="n"/>
      <c r="J144" s="5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27.75" customHeight="1" s="363">
      <c r="A146" s="410" t="inlineStr">
        <is>
          <t>PART-TIMER (PT) STRATEGY — WEEKEND-ONLY STAFFING MODEL</t>
        </is>
      </c>
      <c r="B146" s="398" t="n"/>
      <c r="C146" s="398" t="n"/>
      <c r="D146" s="398" t="n"/>
      <c r="E146" s="398" t="n"/>
      <c r="F146" s="398" t="n"/>
      <c r="G146" s="398" t="n"/>
      <c r="H146" s="398" t="n"/>
      <c r="I146" s="398" t="n"/>
      <c r="J146" s="399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404" t="inlineStr">
        <is>
          <t>PT works Fri + Sat + Sun only (~24hrs/week, ~0.6 FTE)  |  Cost: ~€1,092/mo vs €1,500+/mo FT  |  No days-off scheduling constraint  |  Best for: Novotel, Sunny Coast, Sliema ramp-up</t>
        </is>
      </c>
      <c r="B147" s="398" t="n"/>
      <c r="C147" s="398" t="n"/>
      <c r="D147" s="398" t="n"/>
      <c r="E147" s="398" t="n"/>
      <c r="F147" s="398" t="n"/>
      <c r="G147" s="398" t="n"/>
      <c r="H147" s="398" t="n"/>
      <c r="I147" s="398" t="n"/>
      <c r="J147" s="399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21.75" customHeight="1" s="363">
      <c r="A148" s="144" t="inlineStr">
        <is>
          <t>LOCATION</t>
        </is>
      </c>
      <c r="B148" s="144" t="inlineStr">
        <is>
          <t>PRIORITY</t>
        </is>
      </c>
      <c r="C148" s="144" t="inlineStr">
        <is>
          <t>PT SCHEDULE</t>
        </is>
      </c>
      <c r="D148" s="144" t="inlineStr">
        <is>
          <t>FT COST/MO</t>
        </is>
      </c>
      <c r="E148" s="144" t="inlineStr">
        <is>
          <t>PT COST/MO</t>
        </is>
      </c>
      <c r="F148" s="144" t="inlineStr">
        <is>
          <t>SAVING/MO</t>
        </is>
      </c>
      <c r="G148" s="144" t="inlineStr">
        <is>
          <t>USE CASE / TRIGGER</t>
        </is>
      </c>
      <c r="H148" s="57" t="n"/>
      <c r="I148" s="57" t="n"/>
      <c r="J148" s="5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36" customHeight="1" s="363">
      <c r="A149" s="145" t="inlineStr">
        <is>
          <t>Novotel</t>
        </is>
      </c>
      <c r="B149" s="146" t="inlineStr">
        <is>
          <t>HIGH ★</t>
        </is>
      </c>
      <c r="C149" s="146" t="inlineStr">
        <is>
          <t>Fri+Sat+Sun (A)</t>
        </is>
      </c>
      <c r="D149" s="146" t="inlineStr">
        <is>
          <t>€1,500</t>
        </is>
      </c>
      <c r="E149" s="146" t="inlineStr">
        <is>
          <t>€1,092</t>
        </is>
      </c>
      <c r="F149" s="146" t="inlineStr">
        <is>
          <t>€408</t>
        </is>
      </c>
      <c r="G149" s="147" t="inlineStr">
        <is>
          <t>Enables A+B peak coverage. 2FT+1PT=3 therapists Fri–Sun. Self-funding: 13+ extra treatments/mo covers PT cost.</t>
        </is>
      </c>
      <c r="H149" s="57" t="n"/>
      <c r="I149" s="57" t="n"/>
      <c r="J149" s="5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36" customHeight="1" s="363">
      <c r="A150" s="148" t="inlineStr">
        <is>
          <t>Sunny Coast</t>
        </is>
      </c>
      <c r="B150" s="149" t="inlineStr">
        <is>
          <t>MEDIUM</t>
        </is>
      </c>
      <c r="C150" s="149" t="inlineStr">
        <is>
          <t>Fri+Sat+Sun</t>
        </is>
      </c>
      <c r="D150" s="149" t="inlineStr">
        <is>
          <t>€1,500</t>
        </is>
      </c>
      <c r="E150" s="149" t="inlineStr">
        <is>
          <t>€1,092</t>
        </is>
      </c>
      <c r="F150" s="149" t="inlineStr">
        <is>
          <t>€408</t>
        </is>
      </c>
      <c r="G150" s="150" t="inlineStr">
        <is>
          <t>Absence insurance + surge buffer for 3T location. Add when peak utilisation &gt;80% consistently.</t>
        </is>
      </c>
      <c r="H150" s="57" t="n"/>
      <c r="I150" s="57" t="n"/>
      <c r="J150" s="5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36" customHeight="1" s="363">
      <c r="A151" s="148" t="inlineStr">
        <is>
          <t>Sliema (ramp)</t>
        </is>
      </c>
      <c r="B151" s="149" t="inlineStr">
        <is>
          <t>DEPLOYED</t>
        </is>
      </c>
      <c r="C151" s="149" t="inlineStr">
        <is>
          <t>Tue+Wed+Fri–Sun</t>
        </is>
      </c>
      <c r="D151" s="149" t="inlineStr">
        <is>
          <t>€1,500</t>
        </is>
      </c>
      <c r="E151" s="149" t="inlineStr">
        <is>
          <t>€1,092</t>
        </is>
      </c>
      <c r="F151" s="149" t="inlineStr">
        <is>
          <t>€408</t>
        </is>
      </c>
      <c r="G151" s="150" t="inlineStr">
        <is>
          <t>PT1 (Rania) covers T1 off days + B-shift on peak days. Enables A+B on all 3 peak days. Convert PT to FT at €25k+/mo revenue.</t>
        </is>
      </c>
      <c r="H151" s="57" t="n"/>
      <c r="I151" s="57" t="n"/>
      <c r="J151" s="5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36" customHeight="1" s="363">
      <c r="A152" s="151" t="inlineStr">
        <is>
          <t>Riviera</t>
        </is>
      </c>
      <c r="B152" s="152" t="inlineStr">
        <is>
          <t>LOW</t>
        </is>
      </c>
      <c r="C152" s="152" t="inlineStr">
        <is>
          <t>Sat+Sun overflow</t>
        </is>
      </c>
      <c r="D152" s="152" t="inlineStr">
        <is>
          <t>€1,500</t>
        </is>
      </c>
      <c r="E152" s="152" t="inlineStr">
        <is>
          <t>€546</t>
        </is>
      </c>
      <c r="F152" s="152" t="inlineStr">
        <is>
          <t>€954</t>
        </is>
      </c>
      <c r="G152" s="153" t="inlineStr">
        <is>
          <t>Sat/Sun only (16hrs, ~€546/mo) as overflow. Trigger: &gt;85% peak utilisation on 2+ consecutive weekends.</t>
        </is>
      </c>
      <c r="H152" s="57" t="n"/>
      <c r="I152" s="57" t="n"/>
      <c r="J152" s="5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36" customHeight="1" s="363">
      <c r="A153" s="154" t="inlineStr">
        <is>
          <t>Any location</t>
        </is>
      </c>
      <c r="B153" s="155" t="inlineStr">
        <is>
          <t>TRIGGER</t>
        </is>
      </c>
      <c r="C153" s="155" t="inlineStr">
        <is>
          <t>Fri+Sat+Sun</t>
        </is>
      </c>
      <c r="D153" s="155" t="inlineStr">
        <is>
          <t>n/a</t>
        </is>
      </c>
      <c r="E153" s="155" t="inlineStr">
        <is>
          <t>€1,092</t>
        </is>
      </c>
      <c r="F153" s="155" t="inlineStr">
        <is>
          <t>n/a</t>
        </is>
      </c>
      <c r="G153" s="156" t="inlineStr">
        <is>
          <t>Deploy when peak bookings consistently exceed 80% of total therapist treatment capacity on Fri/Sat/Sun.</t>
        </is>
      </c>
      <c r="H153" s="57" t="n"/>
      <c r="I153" s="57" t="n"/>
      <c r="J153" s="5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</row>
  </sheetData>
  <mergeCells count="53">
    <mergeCell ref="A116:J116"/>
    <mergeCell ref="A5:J5"/>
    <mergeCell ref="A59:B59"/>
    <mergeCell ref="A73:B73"/>
    <mergeCell ref="A62:J62"/>
    <mergeCell ref="A140:J140"/>
    <mergeCell ref="A147:J147"/>
    <mergeCell ref="A124:B124"/>
    <mergeCell ref="A87:B87"/>
    <mergeCell ref="A117:J117"/>
    <mergeCell ref="A127:J127"/>
    <mergeCell ref="A41:B41"/>
    <mergeCell ref="A137:B137"/>
    <mergeCell ref="A99:B99"/>
    <mergeCell ref="A3:B3"/>
    <mergeCell ref="A136:B136"/>
    <mergeCell ref="G3:H3"/>
    <mergeCell ref="A1:J1"/>
    <mergeCell ref="A21:B21"/>
    <mergeCell ref="A45:J45"/>
    <mergeCell ref="A101:B101"/>
    <mergeCell ref="A103:J103"/>
    <mergeCell ref="A61:J61"/>
    <mergeCell ref="A6:J6"/>
    <mergeCell ref="A57:B57"/>
    <mergeCell ref="A113:B113"/>
    <mergeCell ref="A71:B71"/>
    <mergeCell ref="A86:B86"/>
    <mergeCell ref="A146:J146"/>
    <mergeCell ref="A85:B85"/>
    <mergeCell ref="A42:B42"/>
    <mergeCell ref="A135:B135"/>
    <mergeCell ref="A23:B23"/>
    <mergeCell ref="D3:E3"/>
    <mergeCell ref="A25:J25"/>
    <mergeCell ref="A128:J128"/>
    <mergeCell ref="A22:B22"/>
    <mergeCell ref="A90:J90"/>
    <mergeCell ref="A100:B100"/>
    <mergeCell ref="A125:B125"/>
    <mergeCell ref="A75:J75"/>
    <mergeCell ref="A46:J46"/>
    <mergeCell ref="A89:J89"/>
    <mergeCell ref="A72:B72"/>
    <mergeCell ref="A112:B112"/>
    <mergeCell ref="A43:B43"/>
    <mergeCell ref="A139:J139"/>
    <mergeCell ref="A114:B114"/>
    <mergeCell ref="A26:J26"/>
    <mergeCell ref="A2:J2"/>
    <mergeCell ref="A104:J104"/>
    <mergeCell ref="A58:B58"/>
    <mergeCell ref="A76:J76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8" defaultColWidth="14.43" defaultRowHeight="15" customHeight="1"/>
  <cols>
    <col width="22" customWidth="1" style="363" min="1" max="1"/>
    <col width="8" customWidth="1" style="363" min="2" max="13"/>
    <col width="9" customWidth="1" style="363" min="14" max="14"/>
    <col width="38" customWidth="1" style="363" min="15" max="15"/>
  </cols>
  <sheetData>
    <row r="1" ht="30" customHeight="1" s="363">
      <c r="A1" s="412" t="inlineStr">
        <is>
          <t>CARISMA SPA &amp; WELLNESS — THERAPIST WORKLOAD CHECK  |  Treatments Per Therapist Per Day · Dynamic Staffing Plan</t>
        </is>
      </c>
      <c r="B1" s="413" t="n"/>
      <c r="C1" s="413" t="n"/>
      <c r="D1" s="413" t="n"/>
      <c r="E1" s="413" t="n"/>
      <c r="F1" s="413" t="n"/>
      <c r="G1" s="413" t="n"/>
      <c r="H1" s="413" t="n"/>
      <c r="I1" s="413" t="n"/>
      <c r="J1" s="413" t="n"/>
      <c r="K1" s="413" t="n"/>
      <c r="L1" s="413" t="n"/>
      <c r="M1" s="413" t="n"/>
      <c r="N1" s="413" t="n"/>
      <c r="O1" s="414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15" t="inlineStr">
        <is>
          <t>Formula: Monthly Base Revenue × Seasonal Index ÷ (€85 × Days in Month × Therapists that month)  |  Therapist counts sourced directly from the Dynamic Staffing Plan tab  |  Re-run build_workload_check.py to refresh</t>
        </is>
      </c>
      <c r="B2" s="413" t="n"/>
      <c r="C2" s="413" t="n"/>
      <c r="D2" s="413" t="n"/>
      <c r="E2" s="413" t="n"/>
      <c r="F2" s="413" t="n"/>
      <c r="G2" s="413" t="n"/>
      <c r="H2" s="413" t="n"/>
      <c r="I2" s="413" t="n"/>
      <c r="J2" s="413" t="n"/>
      <c r="K2" s="413" t="n"/>
      <c r="L2" s="413" t="n"/>
      <c r="M2" s="413" t="n"/>
      <c r="N2" s="413" t="n"/>
      <c r="O2" s="414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9.5" customHeight="1" s="363">
      <c r="A4" s="416" t="inlineStr">
        <is>
          <t>KEY ASSUMPTIONS  (Blue = hardcoded input)</t>
        </is>
      </c>
      <c r="B4" s="413" t="n"/>
      <c r="C4" s="413" t="n"/>
      <c r="D4" s="413" t="n"/>
      <c r="E4" s="413" t="n"/>
      <c r="F4" s="413" t="n"/>
      <c r="G4" s="413" t="n"/>
      <c r="H4" s="413" t="n"/>
      <c r="I4" s="413" t="n"/>
      <c r="J4" s="413" t="n"/>
      <c r="K4" s="413" t="n"/>
      <c r="L4" s="413" t="n"/>
      <c r="M4" s="413" t="n"/>
      <c r="N4" s="413" t="n"/>
      <c r="O4" s="414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8" customHeight="1" s="363">
      <c r="A5" s="162" t="inlineStr">
        <is>
          <t>Avg treatment revenue (€)</t>
        </is>
      </c>
      <c r="B5" s="163" t="n">
        <v>85</v>
      </c>
      <c r="C5" s="417" t="inlineStr">
        <is>
          <t>← Mid-point €70–€100 range.</t>
        </is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162" t="inlineStr">
        <is>
          <t>Max treatments / therapist / day</t>
        </is>
      </c>
      <c r="B6" s="165" t="n">
        <v>6</v>
      </c>
      <c r="C6" s="417" t="inlineStr">
        <is>
          <t>← 9-hr shift ÷ 90 min per slot = 6 max.</t>
        </is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62" t="inlineStr">
        <is>
          <t>Peak utilisation target</t>
        </is>
      </c>
      <c r="B7" s="166" t="n">
        <v>0.8</v>
      </c>
      <c r="C7" s="417" t="inlineStr">
        <is>
          <t>← 80% industry benchmark.</t>
        </is>
      </c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.5" customHeight="1" s="36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9.5" customHeight="1" s="363">
      <c r="A9" s="418" t="inlineStr">
        <is>
          <t>GRID 1 — THERAPIST HEADCOUNT BY MONTH  (Sourced from Dynamic Staffing Plan · T = permanent, S = seasonal, ⚠ = understaffed flag)</t>
        </is>
      </c>
      <c r="B9" s="413" t="n"/>
      <c r="C9" s="413" t="n"/>
      <c r="D9" s="413" t="n"/>
      <c r="E9" s="413" t="n"/>
      <c r="F9" s="413" t="n"/>
      <c r="G9" s="413" t="n"/>
      <c r="H9" s="413" t="n"/>
      <c r="I9" s="413" t="n"/>
      <c r="J9" s="413" t="n"/>
      <c r="K9" s="413" t="n"/>
      <c r="L9" s="413" t="n"/>
      <c r="M9" s="413" t="n"/>
      <c r="N9" s="413" t="n"/>
      <c r="O9" s="414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7.75" customHeight="1" s="363">
      <c r="A10" s="168" t="inlineStr">
        <is>
          <t>LOCATION</t>
        </is>
      </c>
      <c r="B10" s="169" t="inlineStr">
        <is>
          <t>Jan</t>
        </is>
      </c>
      <c r="C10" s="169" t="inlineStr">
        <is>
          <t>Feb</t>
        </is>
      </c>
      <c r="D10" s="169" t="inlineStr">
        <is>
          <t>Mar</t>
        </is>
      </c>
      <c r="E10" s="169" t="inlineStr">
        <is>
          <t>Apr</t>
        </is>
      </c>
      <c r="F10" s="169" t="inlineStr">
        <is>
          <t>May</t>
        </is>
      </c>
      <c r="G10" s="169" t="inlineStr">
        <is>
          <t>Jun</t>
        </is>
      </c>
      <c r="H10" s="169" t="inlineStr">
        <is>
          <t>Jul</t>
        </is>
      </c>
      <c r="I10" s="169" t="inlineStr">
        <is>
          <t>Aug</t>
        </is>
      </c>
      <c r="J10" s="169" t="inlineStr">
        <is>
          <t>Sep</t>
        </is>
      </c>
      <c r="K10" s="169" t="inlineStr">
        <is>
          <t>Oct</t>
        </is>
      </c>
      <c r="L10" s="169" t="inlineStr">
        <is>
          <t>Nov</t>
        </is>
      </c>
      <c r="M10" s="169" t="inlineStr">
        <is>
          <t>Dec</t>
        </is>
      </c>
      <c r="N10" s="168" t="inlineStr">
        <is>
          <t>FY
AVG</t>
        </is>
      </c>
      <c r="O10" s="170" t="inlineStr">
        <is>
          <t>DYNAMIC STAFFING PLAN RAW VALUE</t>
        </is>
      </c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9.5" customHeight="1" s="363">
      <c r="A11" s="171" t="inlineStr">
        <is>
          <t>Intercontinental</t>
        </is>
      </c>
      <c r="B11" s="172" t="n">
        <v>5</v>
      </c>
      <c r="C11" s="172" t="n">
        <v>5</v>
      </c>
      <c r="D11" s="172" t="n">
        <v>5</v>
      </c>
      <c r="E11" s="172" t="n">
        <v>6</v>
      </c>
      <c r="F11" s="172" t="n">
        <v>6</v>
      </c>
      <c r="G11" s="172" t="n">
        <v>7</v>
      </c>
      <c r="H11" s="172" t="n">
        <v>8</v>
      </c>
      <c r="I11" s="172" t="n">
        <v>8</v>
      </c>
      <c r="J11" s="172" t="n">
        <v>7</v>
      </c>
      <c r="K11" s="172" t="n">
        <v>6</v>
      </c>
      <c r="L11" s="172" t="n">
        <v>5</v>
      </c>
      <c r="M11" s="172" t="n">
        <v>5</v>
      </c>
      <c r="N11" s="173" t="n">
        <v>6.1</v>
      </c>
      <c r="O11" s="174" t="inlineStr">
        <is>
          <t>Jan: 5T  |  Feb: 5T  |  Mar: 5T  |  Apr: 5+1S  |  May: 5+1S  |  Jun: 5+2S  |  Jul: 5+3S  |  Aug: 5+3S  |  Sep: 5+2S  |  Oct: 5+1S  |  Nov: 5T  |  Dec: 5T</t>
        </is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9.5" customHeight="1" s="363">
      <c r="A12" s="171" t="inlineStr">
        <is>
          <t>Hugos</t>
        </is>
      </c>
      <c r="B12" s="172" t="n">
        <v>4</v>
      </c>
      <c r="C12" s="172" t="n">
        <v>4</v>
      </c>
      <c r="D12" s="172" t="n">
        <v>4</v>
      </c>
      <c r="E12" s="172" t="n">
        <v>6</v>
      </c>
      <c r="F12" s="172" t="n">
        <v>6</v>
      </c>
      <c r="G12" s="172" t="n">
        <v>7</v>
      </c>
      <c r="H12" s="172" t="n">
        <v>7</v>
      </c>
      <c r="I12" s="172" t="n">
        <v>8</v>
      </c>
      <c r="J12" s="172" t="n">
        <v>7</v>
      </c>
      <c r="K12" s="172" t="n">
        <v>6</v>
      </c>
      <c r="L12" s="172" t="n">
        <v>4</v>
      </c>
      <c r="M12" s="172" t="n">
        <v>4</v>
      </c>
      <c r="N12" s="173" t="n">
        <v>5.6</v>
      </c>
      <c r="O12" s="174" t="inlineStr">
        <is>
          <t>Jan: 4T  |  Feb: 4T  |  Mar: 4T  |  Apr: 4+2S  |  May: 4+2S  |  Jun: 4+3S  |  Jul: 4+3S  |  Aug: 4+4S  |  Sep: 4+3S  |  Oct: 4+2S  |  Nov: 4T  |  Dec: 4T</t>
        </is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9.5" customHeight="1" s="363">
      <c r="A13" s="171" t="inlineStr">
        <is>
          <t>Ramla</t>
        </is>
      </c>
      <c r="B13" s="172" t="n">
        <v>3</v>
      </c>
      <c r="C13" s="172" t="n">
        <v>3</v>
      </c>
      <c r="D13" s="172" t="n">
        <v>3</v>
      </c>
      <c r="E13" s="172" t="n">
        <v>4</v>
      </c>
      <c r="F13" s="172" t="n">
        <v>4</v>
      </c>
      <c r="G13" s="172" t="n">
        <v>4</v>
      </c>
      <c r="H13" s="172" t="n">
        <v>5</v>
      </c>
      <c r="I13" s="172" t="n">
        <v>5</v>
      </c>
      <c r="J13" s="172" t="n">
        <v>4</v>
      </c>
      <c r="K13" s="172" t="n">
        <v>4</v>
      </c>
      <c r="L13" s="172" t="n">
        <v>3</v>
      </c>
      <c r="M13" s="172" t="n">
        <v>3</v>
      </c>
      <c r="N13" s="173" t="n">
        <v>3.8</v>
      </c>
      <c r="O13" s="174" t="inlineStr">
        <is>
          <t>Jan: 3T  |  Feb: 3T  |  Mar: 3T  |  Apr: 3+1S  |  May: 3+1S  |  Jun: 3+1S  |  Jul: 3+2S  |  Aug: 3+2S  |  Sep: 3+1S  |  Oct: 3+1S  |  Nov: 3T  |  Dec: 3T</t>
        </is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9.5" customHeight="1" s="363">
      <c r="A14" s="171" t="inlineStr">
        <is>
          <t>Hyatt</t>
        </is>
      </c>
      <c r="B14" s="172" t="n">
        <v>2</v>
      </c>
      <c r="C14" s="172" t="n">
        <v>2</v>
      </c>
      <c r="D14" s="172" t="n">
        <v>2</v>
      </c>
      <c r="E14" s="172" t="n">
        <v>3</v>
      </c>
      <c r="F14" s="172" t="n">
        <v>4</v>
      </c>
      <c r="G14" s="172" t="n">
        <v>4</v>
      </c>
      <c r="H14" s="172" t="n">
        <v>4</v>
      </c>
      <c r="I14" s="172" t="n">
        <v>4</v>
      </c>
      <c r="J14" s="172" t="n">
        <v>4</v>
      </c>
      <c r="K14" s="172" t="n">
        <v>4</v>
      </c>
      <c r="L14" s="172" t="n">
        <v>2</v>
      </c>
      <c r="M14" s="172" t="n">
        <v>2</v>
      </c>
      <c r="N14" s="173" t="n">
        <v>3.1</v>
      </c>
      <c r="O14" s="174" t="inlineStr">
        <is>
          <t>Jan: 2T  |  Feb: 2T  |  Mar: 2T  |  Apr: 2+1S  |  May: 2+2S  |  Jun: 2+2S  |  Jul: 2+2S  |  Aug: 2+2S  |  Sep: 2+2S  |  Oct: 2+2S  |  Nov: 2T  |  Dec: 2T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9.5" customHeight="1" s="363">
      <c r="A15" s="171" t="inlineStr">
        <is>
          <t>Excelsior</t>
        </is>
      </c>
      <c r="B15" s="172" t="n">
        <v>2</v>
      </c>
      <c r="C15" s="172" t="n">
        <v>2</v>
      </c>
      <c r="D15" s="172" t="n">
        <v>2</v>
      </c>
      <c r="E15" s="172" t="n">
        <v>3</v>
      </c>
      <c r="F15" s="172" t="n">
        <v>3</v>
      </c>
      <c r="G15" s="172" t="n">
        <v>4</v>
      </c>
      <c r="H15" s="172" t="n">
        <v>4</v>
      </c>
      <c r="I15" s="172" t="n">
        <v>4</v>
      </c>
      <c r="J15" s="172" t="n">
        <v>4</v>
      </c>
      <c r="K15" s="172" t="n">
        <v>3</v>
      </c>
      <c r="L15" s="172" t="n">
        <v>2</v>
      </c>
      <c r="M15" s="172" t="n">
        <v>2</v>
      </c>
      <c r="N15" s="173" t="n">
        <v>2.9</v>
      </c>
      <c r="O15" s="174" t="inlineStr">
        <is>
          <t>Jan: 2T  |  Feb: 2T  |  Mar: 2T  |  Apr: 2+1S  |  May: 2+1S  |  Jun: 2+2S  |  Jul: 2+2S  |  Aug: 2+2S  |  Sep: 2+2S  |  Oct: 2+1S  |  Nov: 2T  |  Dec: 2T</t>
        </is>
      </c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9.5" customHeight="1" s="363">
      <c r="A16" s="171" t="inlineStr">
        <is>
          <t>Riviera</t>
        </is>
      </c>
      <c r="B16" s="172" t="n">
        <v>2</v>
      </c>
      <c r="C16" s="172" t="n">
        <v>2</v>
      </c>
      <c r="D16" s="172" t="n">
        <v>2</v>
      </c>
      <c r="E16" s="172" t="n">
        <v>3</v>
      </c>
      <c r="F16" s="172" t="n">
        <v>3</v>
      </c>
      <c r="G16" s="172" t="n">
        <v>3</v>
      </c>
      <c r="H16" s="172" t="n">
        <v>3</v>
      </c>
      <c r="I16" s="172" t="n">
        <v>3</v>
      </c>
      <c r="J16" s="172" t="n">
        <v>3</v>
      </c>
      <c r="K16" s="172" t="n">
        <v>3</v>
      </c>
      <c r="L16" s="172" t="n">
        <v>2</v>
      </c>
      <c r="M16" s="172" t="n">
        <v>2</v>
      </c>
      <c r="N16" s="173" t="n">
        <v>2.6</v>
      </c>
      <c r="O16" s="174" t="inlineStr">
        <is>
          <t>Jan: 2T  |  Feb: 2T  |  Mar: 2T  |  Apr: 2+1S  |  May: 2+1S  |  Jun: 2+1S  |  Jul: 2+1S  |  Aug: 2+1S  |  Sep: 2+1S  |  Oct: 2+1S  |  Nov: 2T  |  Dec: 2T</t>
        </is>
      </c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9.5" customHeight="1" s="363">
      <c r="A17" s="171" t="inlineStr">
        <is>
          <t>Sunny Coast</t>
        </is>
      </c>
      <c r="B17" s="172" t="n">
        <v>2</v>
      </c>
      <c r="C17" s="172" t="n">
        <v>2</v>
      </c>
      <c r="D17" s="172" t="n">
        <v>2</v>
      </c>
      <c r="E17" s="172" t="n">
        <v>3</v>
      </c>
      <c r="F17" s="172" t="n">
        <v>3</v>
      </c>
      <c r="G17" s="172" t="n">
        <v>3</v>
      </c>
      <c r="H17" s="172" t="n">
        <v>3</v>
      </c>
      <c r="I17" s="172" t="n">
        <v>3</v>
      </c>
      <c r="J17" s="172" t="n">
        <v>3</v>
      </c>
      <c r="K17" s="172" t="n">
        <v>3</v>
      </c>
      <c r="L17" s="172" t="n">
        <v>2</v>
      </c>
      <c r="M17" s="172" t="n">
        <v>2</v>
      </c>
      <c r="N17" s="173" t="n">
        <v>2.6</v>
      </c>
      <c r="O17" s="174" t="inlineStr">
        <is>
          <t>Jan: 2T  |  Feb: 2T  |  Mar: 2T  |  Apr: 2+1S  |  May: 2+1S  |  Jun: 2+1S  |  Jul: 2+1S  |  Aug: 2+1S  |  Sep: 2+1S  |  Oct: 2+1S  |  Nov: 2T  |  Dec: 2T</t>
        </is>
      </c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9.5" customHeight="1" s="363">
      <c r="A18" s="171" t="inlineStr">
        <is>
          <t>Novotel</t>
        </is>
      </c>
      <c r="B18" s="172" t="n">
        <v>1</v>
      </c>
      <c r="C18" s="172" t="n">
        <v>1</v>
      </c>
      <c r="D18" s="172" t="n">
        <v>1</v>
      </c>
      <c r="E18" s="172" t="n">
        <v>2</v>
      </c>
      <c r="F18" s="172" t="n">
        <v>2</v>
      </c>
      <c r="G18" s="172" t="n">
        <v>2</v>
      </c>
      <c r="H18" s="172" t="n">
        <v>3</v>
      </c>
      <c r="I18" s="172" t="n">
        <v>3</v>
      </c>
      <c r="J18" s="172" t="n">
        <v>2</v>
      </c>
      <c r="K18" s="172" t="n">
        <v>2</v>
      </c>
      <c r="L18" s="172" t="n">
        <v>1</v>
      </c>
      <c r="M18" s="172" t="n">
        <v>1</v>
      </c>
      <c r="N18" s="173" t="n">
        <v>1.8</v>
      </c>
      <c r="O18" s="174" t="inlineStr">
        <is>
          <t>Jan: 1T  |  Feb: 1T  |  Mar: 1T  |  Apr: 1+1S  |  May: 1+1S  |  Jun: 1+1S  |  Jul: 1+2S  |  Aug: 1+2S  |  Sep: 1+1S  |  Oct: 1+1S  |  Nov: 1T  |  Dec: 1T</t>
        </is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9.5" customHeight="1" s="363">
      <c r="A19" s="171" t="inlineStr">
        <is>
          <t>Sliema (NEW)</t>
        </is>
      </c>
      <c r="B19" s="175" t="n">
        <v>5</v>
      </c>
      <c r="C19" s="175" t="n">
        <v>5</v>
      </c>
      <c r="D19" s="175" t="n">
        <v>5</v>
      </c>
      <c r="E19" s="175" t="n">
        <v>5</v>
      </c>
      <c r="F19" s="175" t="n">
        <v>6</v>
      </c>
      <c r="G19" s="175" t="n">
        <v>6</v>
      </c>
      <c r="H19" s="175" t="n">
        <v>7</v>
      </c>
      <c r="I19" s="175" t="n">
        <v>7</v>
      </c>
      <c r="J19" s="175" t="n">
        <v>6</v>
      </c>
      <c r="K19" s="175" t="n">
        <v>6</v>
      </c>
      <c r="L19" s="175" t="n">
        <v>5</v>
      </c>
      <c r="M19" s="175" t="n">
        <v>5</v>
      </c>
      <c r="N19" s="173" t="n">
        <v>5.7</v>
      </c>
      <c r="O19" s="174" t="inlineStr">
        <is>
          <t>Jan: ⚠ 5T  |  Feb: ⚠ 5T  |  Mar: ⚠ 5T  |  Apr: ⚠ 5T  |  May: ⚠ 6T  |  Jun: ⚠ 6T  |  Jul: ⚠ 7T  |  Aug: ⚠ 7T  |  Sep: ⚠ 6T  |  Oct: ⚠ 6T  |  Nov: ⚠ 5T  |  Dec: ⚠ 5T</t>
        </is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9.75" customHeight="1" s="36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418" t="inlineStr">
        <is>
          <t>GRID 2 — TREATMENTS PER THERAPIST PER DAY  (Monthly Rev × Seasonal Index ÷ (€85 × Days × Therapists)  |  Colour = feasibility: Green = ideal · Yellow = busy · Orange = at limit · Red = impossible)</t>
        </is>
      </c>
      <c r="B21" s="413" t="n"/>
      <c r="C21" s="413" t="n"/>
      <c r="D21" s="413" t="n"/>
      <c r="E21" s="413" t="n"/>
      <c r="F21" s="413" t="n"/>
      <c r="G21" s="413" t="n"/>
      <c r="H21" s="413" t="n"/>
      <c r="I21" s="413" t="n"/>
      <c r="J21" s="413" t="n"/>
      <c r="K21" s="413" t="n"/>
      <c r="L21" s="413" t="n"/>
      <c r="M21" s="413" t="n"/>
      <c r="N21" s="413" t="n"/>
      <c r="O21" s="414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27.75" customHeight="1" s="363">
      <c r="A22" s="168" t="inlineStr">
        <is>
          <t>LOCATION</t>
        </is>
      </c>
      <c r="B22" s="176" t="inlineStr">
        <is>
          <t>Jan</t>
        </is>
      </c>
      <c r="C22" s="176" t="inlineStr">
        <is>
          <t>Feb</t>
        </is>
      </c>
      <c r="D22" s="176" t="inlineStr">
        <is>
          <t>Mar</t>
        </is>
      </c>
      <c r="E22" s="176" t="inlineStr">
        <is>
          <t>Apr</t>
        </is>
      </c>
      <c r="F22" s="176" t="inlineStr">
        <is>
          <t>May</t>
        </is>
      </c>
      <c r="G22" s="176" t="inlineStr">
        <is>
          <t>Jun</t>
        </is>
      </c>
      <c r="H22" s="176" t="inlineStr">
        <is>
          <t>Jul</t>
        </is>
      </c>
      <c r="I22" s="176" t="inlineStr">
        <is>
          <t>Aug</t>
        </is>
      </c>
      <c r="J22" s="176" t="inlineStr">
        <is>
          <t>Sep</t>
        </is>
      </c>
      <c r="K22" s="176" t="inlineStr">
        <is>
          <t>Oct</t>
        </is>
      </c>
      <c r="L22" s="176" t="inlineStr">
        <is>
          <t>Nov</t>
        </is>
      </c>
      <c r="M22" s="176" t="inlineStr">
        <is>
          <t>Dec</t>
        </is>
      </c>
      <c r="N22" s="177" t="inlineStr">
        <is>
          <t>FY
AVG</t>
        </is>
      </c>
      <c r="O22" s="170" t="inlineStr">
        <is>
          <t>FEASIBILITY NOTE</t>
        </is>
      </c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21.75" customHeight="1" s="363">
      <c r="A23" s="171" t="inlineStr">
        <is>
          <t>Intercontinental</t>
        </is>
      </c>
      <c r="B23" s="178" t="n">
        <v>3</v>
      </c>
      <c r="C23" s="178" t="n">
        <v>3.5</v>
      </c>
      <c r="D23" s="178" t="n">
        <v>3.4</v>
      </c>
      <c r="E23" s="178" t="n">
        <v>3.1</v>
      </c>
      <c r="F23" s="178" t="n">
        <v>3.1</v>
      </c>
      <c r="G23" s="178" t="n">
        <v>3</v>
      </c>
      <c r="H23" s="179" t="n">
        <v>2.8</v>
      </c>
      <c r="I23" s="179" t="n">
        <v>2.9</v>
      </c>
      <c r="J23" s="178" t="n">
        <v>3</v>
      </c>
      <c r="K23" s="178" t="n">
        <v>3.1</v>
      </c>
      <c r="L23" s="178" t="n">
        <v>3.5</v>
      </c>
      <c r="M23" s="178" t="n">
        <v>3.6</v>
      </c>
      <c r="N23" s="180" t="n">
        <v>3.2</v>
      </c>
      <c r="O23" s="181" t="inlineStr">
        <is>
          <t>Busy but sustainable — peaks Dec 3.6 tx/day. Light months (Jul: 2.8 tx/day) have headroom.</t>
        </is>
      </c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21.75" customHeight="1" s="363">
      <c r="A24" s="171" t="inlineStr">
        <is>
          <t>Hugos</t>
        </is>
      </c>
      <c r="B24" s="178" t="n">
        <v>3.6</v>
      </c>
      <c r="C24" s="182" t="n">
        <v>4.2</v>
      </c>
      <c r="D24" s="182" t="n">
        <v>4.1</v>
      </c>
      <c r="E24" s="179" t="n">
        <v>3</v>
      </c>
      <c r="F24" s="178" t="n">
        <v>3</v>
      </c>
      <c r="G24" s="179" t="n">
        <v>2.9</v>
      </c>
      <c r="H24" s="178" t="n">
        <v>3.1</v>
      </c>
      <c r="I24" s="179" t="n">
        <v>2.8</v>
      </c>
      <c r="J24" s="179" t="n">
        <v>2.9</v>
      </c>
      <c r="K24" s="178" t="n">
        <v>3</v>
      </c>
      <c r="L24" s="182" t="n">
        <v>4.2</v>
      </c>
      <c r="M24" s="182" t="n">
        <v>4.3</v>
      </c>
      <c r="N24" s="180" t="n">
        <v>3.4</v>
      </c>
      <c r="O24" s="181" t="inlineStr">
        <is>
          <t>Busy but sustainable — peaks Dec 4.3 tx/day. Light months (Aug: 2.8 tx/day) have headroom.</t>
        </is>
      </c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21.75" customHeight="1" s="363">
      <c r="A25" s="171" t="inlineStr">
        <is>
          <t>Ramla</t>
        </is>
      </c>
      <c r="B25" s="178" t="n">
        <v>3</v>
      </c>
      <c r="C25" s="178" t="n">
        <v>3.6</v>
      </c>
      <c r="D25" s="178" t="n">
        <v>3.4</v>
      </c>
      <c r="E25" s="179" t="n">
        <v>2.8</v>
      </c>
      <c r="F25" s="179" t="n">
        <v>2.8</v>
      </c>
      <c r="G25" s="178" t="n">
        <v>3.2</v>
      </c>
      <c r="H25" s="179" t="n">
        <v>2.7</v>
      </c>
      <c r="I25" s="179" t="n">
        <v>2.8</v>
      </c>
      <c r="J25" s="178" t="n">
        <v>3.2</v>
      </c>
      <c r="K25" s="179" t="n">
        <v>2.8</v>
      </c>
      <c r="L25" s="178" t="n">
        <v>3.5</v>
      </c>
      <c r="M25" s="178" t="n">
        <v>3.6</v>
      </c>
      <c r="N25" s="180" t="n">
        <v>3.1</v>
      </c>
      <c r="O25" s="181" t="inlineStr">
        <is>
          <t>Busy but sustainable — peaks Dec 3.6 tx/day. Light months (Jul: 2.7 tx/day) have headroom.</t>
        </is>
      </c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21.75" customHeight="1" s="363">
      <c r="A26" s="171" t="inlineStr">
        <is>
          <t>Hyatt</t>
        </is>
      </c>
      <c r="B26" s="178" t="n">
        <v>3.8</v>
      </c>
      <c r="C26" s="182" t="n">
        <v>4.5</v>
      </c>
      <c r="D26" s="182" t="n">
        <v>4.3</v>
      </c>
      <c r="E26" s="178" t="n">
        <v>3.1</v>
      </c>
      <c r="F26" s="179" t="n">
        <v>2.4</v>
      </c>
      <c r="G26" s="179" t="n">
        <v>2.7</v>
      </c>
      <c r="H26" s="179" t="n">
        <v>2.9</v>
      </c>
      <c r="I26" s="178" t="n">
        <v>3</v>
      </c>
      <c r="J26" s="179" t="n">
        <v>2.7</v>
      </c>
      <c r="K26" s="179" t="n">
        <v>2.4</v>
      </c>
      <c r="L26" s="182" t="n">
        <v>4.5</v>
      </c>
      <c r="M26" s="182" t="n">
        <v>4.6</v>
      </c>
      <c r="N26" s="180" t="n">
        <v>3.4</v>
      </c>
      <c r="O26" s="181" t="inlineStr">
        <is>
          <t>Busy but sustainable — peaks Dec 4.6 tx/day. Light months (May: 2.4 tx/day) have headroom.</t>
        </is>
      </c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21.75" customHeight="1" s="363">
      <c r="A27" s="171" t="inlineStr">
        <is>
          <t>Excelsior</t>
        </is>
      </c>
      <c r="B27" s="178" t="n">
        <v>3.7</v>
      </c>
      <c r="C27" s="182" t="n">
        <v>4.3</v>
      </c>
      <c r="D27" s="182" t="n">
        <v>4.1</v>
      </c>
      <c r="E27" s="178" t="n">
        <v>3</v>
      </c>
      <c r="F27" s="178" t="n">
        <v>3.1</v>
      </c>
      <c r="G27" s="179" t="n">
        <v>2.6</v>
      </c>
      <c r="H27" s="179" t="n">
        <v>2.8</v>
      </c>
      <c r="I27" s="179" t="n">
        <v>2.9</v>
      </c>
      <c r="J27" s="179" t="n">
        <v>2.6</v>
      </c>
      <c r="K27" s="178" t="n">
        <v>3.1</v>
      </c>
      <c r="L27" s="182" t="n">
        <v>4.3</v>
      </c>
      <c r="M27" s="182" t="n">
        <v>4.4</v>
      </c>
      <c r="N27" s="180" t="n">
        <v>3.4</v>
      </c>
      <c r="O27" s="181" t="inlineStr">
        <is>
          <t>Busy but sustainable — peaks Dec 4.4 tx/day. Light months (Jun: 2.6 tx/day) have headroom.</t>
        </is>
      </c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21.75" customHeight="1" s="363">
      <c r="A28" s="171" t="inlineStr">
        <is>
          <t>Riviera</t>
        </is>
      </c>
      <c r="B28" s="178" t="n">
        <v>3</v>
      </c>
      <c r="C28" s="178" t="n">
        <v>3.6</v>
      </c>
      <c r="D28" s="178" t="n">
        <v>3.4</v>
      </c>
      <c r="E28" s="179" t="n">
        <v>2.5</v>
      </c>
      <c r="F28" s="179" t="n">
        <v>2.5</v>
      </c>
      <c r="G28" s="179" t="n">
        <v>2.9</v>
      </c>
      <c r="H28" s="178" t="n">
        <v>3</v>
      </c>
      <c r="I28" s="178" t="n">
        <v>3.2</v>
      </c>
      <c r="J28" s="179" t="n">
        <v>2.9</v>
      </c>
      <c r="K28" s="179" t="n">
        <v>2.5</v>
      </c>
      <c r="L28" s="178" t="n">
        <v>3.5</v>
      </c>
      <c r="M28" s="178" t="n">
        <v>3.6</v>
      </c>
      <c r="N28" s="180" t="n">
        <v>3</v>
      </c>
      <c r="O28" s="181" t="inlineStr">
        <is>
          <t>Busy but sustainable — peaks Dec 3.6 tx/day. Light months (Apr: 2.5 tx/day) have headroom.</t>
        </is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21.75" customHeight="1" s="363">
      <c r="A29" s="171" t="inlineStr">
        <is>
          <t>Sunny Coast</t>
        </is>
      </c>
      <c r="B29" s="179" t="n">
        <v>2.8</v>
      </c>
      <c r="C29" s="178" t="n">
        <v>3.3</v>
      </c>
      <c r="D29" s="178" t="n">
        <v>3.1</v>
      </c>
      <c r="E29" s="179" t="n">
        <v>2.3</v>
      </c>
      <c r="F29" s="179" t="n">
        <v>2.3</v>
      </c>
      <c r="G29" s="179" t="n">
        <v>2.6</v>
      </c>
      <c r="H29" s="179" t="n">
        <v>2.8</v>
      </c>
      <c r="I29" s="179" t="n">
        <v>2.9</v>
      </c>
      <c r="J29" s="179" t="n">
        <v>2.6</v>
      </c>
      <c r="K29" s="179" t="n">
        <v>2.3</v>
      </c>
      <c r="L29" s="178" t="n">
        <v>3.2</v>
      </c>
      <c r="M29" s="178" t="n">
        <v>3.3</v>
      </c>
      <c r="N29" s="183" t="n">
        <v>2.8</v>
      </c>
      <c r="O29" s="184" t="inlineStr">
        <is>
          <t>Healthy utilisation — Dec 3.3 tx/day. Comfortable pacing year-round.</t>
        </is>
      </c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21.75" customHeight="1" s="363">
      <c r="A30" s="171" t="inlineStr">
        <is>
          <t>Novotel</t>
        </is>
      </c>
      <c r="B30" s="182" t="n">
        <v>4.3</v>
      </c>
      <c r="C30" s="182" t="n">
        <v>5</v>
      </c>
      <c r="D30" s="182" t="n">
        <v>4.8</v>
      </c>
      <c r="E30" s="179" t="n">
        <v>2.6</v>
      </c>
      <c r="F30" s="179" t="n">
        <v>2.7</v>
      </c>
      <c r="G30" s="178" t="n">
        <v>3</v>
      </c>
      <c r="H30" s="179" t="n">
        <v>2.1</v>
      </c>
      <c r="I30" s="179" t="n">
        <v>2.2</v>
      </c>
      <c r="J30" s="178" t="n">
        <v>3</v>
      </c>
      <c r="K30" s="179" t="n">
        <v>2.7</v>
      </c>
      <c r="L30" s="182" t="n">
        <v>4.9</v>
      </c>
      <c r="M30" s="185" t="n">
        <v>5</v>
      </c>
      <c r="N30" s="180" t="n">
        <v>3.5</v>
      </c>
      <c r="O30" s="181" t="inlineStr">
        <is>
          <t>Busy but sustainable — peaks Dec 5.0 tx/day. Light months (Jul: 2.1 tx/day) have headroom.</t>
        </is>
      </c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21.75" customHeight="1" s="363">
      <c r="A31" s="171" t="inlineStr">
        <is>
          <t>Sliema (NEW)</t>
        </is>
      </c>
      <c r="B31" s="183" t="n">
        <v>2.5</v>
      </c>
      <c r="C31" s="183" t="n">
        <v>3</v>
      </c>
      <c r="D31" s="183" t="n">
        <v>2.8</v>
      </c>
      <c r="E31" s="180" t="n">
        <v>3.1</v>
      </c>
      <c r="F31" s="183" t="n">
        <v>2.6</v>
      </c>
      <c r="G31" s="183" t="n">
        <v>3</v>
      </c>
      <c r="H31" s="183" t="n">
        <v>2.7</v>
      </c>
      <c r="I31" s="183" t="n">
        <v>2.8</v>
      </c>
      <c r="J31" s="183" t="n">
        <v>3</v>
      </c>
      <c r="K31" s="183" t="n">
        <v>2.6</v>
      </c>
      <c r="L31" s="183" t="n">
        <v>2.9</v>
      </c>
      <c r="M31" s="180" t="n">
        <v>3</v>
      </c>
      <c r="N31" s="183" t="n">
        <v>2.8</v>
      </c>
      <c r="O31" s="184" t="inlineStr">
        <is>
          <t>Healthy utilisation — Apr 3.1 tx/day. Comfortable pacing year-round.</t>
        </is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9.75" customHeight="1" s="363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9.5" customHeight="1" s="363">
      <c r="A33" s="416" t="inlineStr">
        <is>
          <t>COLOUR LEGEND — Treatments Per Therapist Per Day</t>
        </is>
      </c>
      <c r="B33" s="413" t="n"/>
      <c r="C33" s="413" t="n"/>
      <c r="D33" s="413" t="n"/>
      <c r="E33" s="413" t="n"/>
      <c r="F33" s="413" t="n"/>
      <c r="G33" s="413" t="n"/>
      <c r="H33" s="413" t="n"/>
      <c r="I33" s="413" t="n"/>
      <c r="J33" s="413" t="n"/>
      <c r="K33" s="413" t="n"/>
      <c r="L33" s="413" t="n"/>
      <c r="M33" s="413" t="n"/>
      <c r="N33" s="413" t="n"/>
      <c r="O33" s="414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9.5" customHeight="1" s="363">
      <c r="A34" s="186" t="inlineStr">
        <is>
          <t>&lt; 2.0 tx / therapist / day</t>
        </is>
      </c>
      <c r="B34" s="419" t="inlineStr">
        <is>
          <t>Severely under-utilised. Headcount significantly exceeds demand for this location/month.</t>
        </is>
      </c>
      <c r="C34" s="413" t="n"/>
      <c r="D34" s="413" t="n"/>
      <c r="E34" s="413" t="n"/>
      <c r="F34" s="413" t="n"/>
      <c r="G34" s="413" t="n"/>
      <c r="H34" s="413" t="n"/>
      <c r="I34" s="413" t="n"/>
      <c r="J34" s="413" t="n"/>
      <c r="K34" s="413" t="n"/>
      <c r="L34" s="413" t="n"/>
      <c r="M34" s="413" t="n"/>
      <c r="N34" s="413" t="n"/>
      <c r="O34" s="414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9.5" customHeight="1" s="363">
      <c r="A35" s="188" t="inlineStr">
        <is>
          <t>2.0 – 3.0 tx / therapist / day</t>
        </is>
      </c>
      <c r="B35" s="420" t="inlineStr">
        <is>
          <t>Light utilisation. Comfortable for staff; room to grow revenue or reduce seasonal headcount.</t>
        </is>
      </c>
      <c r="C35" s="413" t="n"/>
      <c r="D35" s="413" t="n"/>
      <c r="E35" s="413" t="n"/>
      <c r="F35" s="413" t="n"/>
      <c r="G35" s="413" t="n"/>
      <c r="H35" s="413" t="n"/>
      <c r="I35" s="413" t="n"/>
      <c r="J35" s="413" t="n"/>
      <c r="K35" s="413" t="n"/>
      <c r="L35" s="413" t="n"/>
      <c r="M35" s="413" t="n"/>
      <c r="N35" s="413" t="n"/>
      <c r="O35" s="414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9.5" customHeight="1" s="363">
      <c r="A36" s="190" t="inlineStr">
        <is>
          <t>3.0 – 4.0 tx / therapist / day</t>
        </is>
      </c>
      <c r="B36" s="421" t="inlineStr">
        <is>
          <t>Ideal / target range. Good pacing — therapists are productive without being overloaded. Matches 80% utilisation benchmark at 75-min average treatment.</t>
        </is>
      </c>
      <c r="C36" s="413" t="n"/>
      <c r="D36" s="413" t="n"/>
      <c r="E36" s="413" t="n"/>
      <c r="F36" s="413" t="n"/>
      <c r="G36" s="413" t="n"/>
      <c r="H36" s="413" t="n"/>
      <c r="I36" s="413" t="n"/>
      <c r="J36" s="413" t="n"/>
      <c r="K36" s="413" t="n"/>
      <c r="L36" s="413" t="n"/>
      <c r="M36" s="413" t="n"/>
      <c r="N36" s="413" t="n"/>
      <c r="O36" s="414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9.5" customHeight="1" s="363">
      <c r="A37" s="192" t="inlineStr">
        <is>
          <t>4.0 – 5.0 tx / therapist / day</t>
        </is>
      </c>
      <c r="B37" s="422" t="inlineStr">
        <is>
          <t>Busy. Manageable but leaves little margin for longer treatments, consultations, or same-day cancellations.</t>
        </is>
      </c>
      <c r="C37" s="413" t="n"/>
      <c r="D37" s="413" t="n"/>
      <c r="E37" s="413" t="n"/>
      <c r="F37" s="413" t="n"/>
      <c r="G37" s="413" t="n"/>
      <c r="H37" s="413" t="n"/>
      <c r="I37" s="413" t="n"/>
      <c r="J37" s="413" t="n"/>
      <c r="K37" s="413" t="n"/>
      <c r="L37" s="413" t="n"/>
      <c r="M37" s="413" t="n"/>
      <c r="N37" s="413" t="n"/>
      <c r="O37" s="414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9.5" customHeight="1" s="363">
      <c r="A38" s="194" t="inlineStr">
        <is>
          <t>5.0 – 6.0 tx / therapist / day</t>
        </is>
      </c>
      <c r="B38" s="423" t="inlineStr">
        <is>
          <t>At absolute capacity. Every slot must be filled perfectly. Not sustainable beyond short peak periods without quality impact.</t>
        </is>
      </c>
      <c r="C38" s="413" t="n"/>
      <c r="D38" s="413" t="n"/>
      <c r="E38" s="413" t="n"/>
      <c r="F38" s="413" t="n"/>
      <c r="G38" s="413" t="n"/>
      <c r="H38" s="413" t="n"/>
      <c r="I38" s="413" t="n"/>
      <c r="J38" s="413" t="n"/>
      <c r="K38" s="413" t="n"/>
      <c r="L38" s="413" t="n"/>
      <c r="M38" s="413" t="n"/>
      <c r="N38" s="413" t="n"/>
      <c r="O38" s="414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9.5" customHeight="1" s="363">
      <c r="A39" s="196" t="inlineStr">
        <is>
          <t>&gt; 6.0 tx / therapist / day</t>
        </is>
      </c>
      <c r="B39" s="424" t="inlineStr">
        <is>
          <t>IMPOSSIBLE. Exceeds the physical maximum (6 × 90-min slots in a 9-hr shift). Revenue target cannot be met with current headcount — increase therapist allocation.</t>
        </is>
      </c>
      <c r="C39" s="413" t="n"/>
      <c r="D39" s="413" t="n"/>
      <c r="E39" s="413" t="n"/>
      <c r="F39" s="413" t="n"/>
      <c r="G39" s="413" t="n"/>
      <c r="H39" s="413" t="n"/>
      <c r="I39" s="413" t="n"/>
      <c r="J39" s="413" t="n"/>
      <c r="K39" s="413" t="n"/>
      <c r="L39" s="413" t="n"/>
      <c r="M39" s="413" t="n"/>
      <c r="N39" s="413" t="n"/>
      <c r="O39" s="414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363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363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363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36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363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363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363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363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363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363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363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363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36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36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36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36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36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36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36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</row>
  </sheetData>
  <mergeCells count="15">
    <mergeCell ref="B35:O35"/>
    <mergeCell ref="C5:O5"/>
    <mergeCell ref="A2:O2"/>
    <mergeCell ref="B39:O39"/>
    <mergeCell ref="B38:O38"/>
    <mergeCell ref="A33:O33"/>
    <mergeCell ref="A1:O1"/>
    <mergeCell ref="B36:O36"/>
    <mergeCell ref="B34:O34"/>
    <mergeCell ref="B37:O37"/>
    <mergeCell ref="C7:O7"/>
    <mergeCell ref="A9:O9"/>
    <mergeCell ref="A4:O4"/>
    <mergeCell ref="C6:O6"/>
    <mergeCell ref="A21:O2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14" customWidth="1" style="363" min="1" max="1"/>
    <col width="34" customWidth="1" style="363" min="2" max="2"/>
    <col width="12" customWidth="1" style="363" min="3" max="4"/>
    <col width="9" customWidth="1" style="363" min="5" max="12"/>
    <col width="12" customWidth="1" style="363" min="13" max="13"/>
    <col width="30" customWidth="1" style="363" min="14" max="14"/>
  </cols>
  <sheetData>
    <row r="1" ht="7.5" customHeight="1" s="363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7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75" customHeight="1" s="363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425" t="inlineStr">
        <is>
          <t>CARISMA SPA  —  WEEKLY RECEPTION ROSTER  |  Inter  ·  Hugos  ·  Hyatt  |  Non-Therapist Staff  |  7-Day Coverage View</t>
        </is>
      </c>
      <c r="B5" s="413" t="n"/>
      <c r="C5" s="413" t="n"/>
      <c r="D5" s="413" t="n"/>
      <c r="E5" s="413" t="n"/>
      <c r="F5" s="413" t="n"/>
      <c r="G5" s="413" t="n"/>
      <c r="H5" s="413" t="n"/>
      <c r="I5" s="413" t="n"/>
      <c r="J5" s="413" t="n"/>
      <c r="K5" s="413" t="n"/>
      <c r="L5" s="413" t="n"/>
      <c r="M5" s="413" t="n"/>
      <c r="N5" s="414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00" t="inlineStr">
        <is>
          <t>LEGEND</t>
        </is>
      </c>
      <c r="B6" s="413" t="n"/>
      <c r="C6" s="414" t="n"/>
      <c r="D6" s="200" t="inlineStr">
        <is>
          <t>WORK — full day</t>
        </is>
      </c>
      <c r="E6" s="169" t="inlineStr">
        <is>
          <t>RM VISIT — site day</t>
        </is>
      </c>
      <c r="F6" s="201" t="inlineStr">
        <is>
          <t>COVER — relief/PT</t>
        </is>
      </c>
      <c r="G6" s="202" t="inlineStr">
        <is>
          <t>— off (weekday)</t>
        </is>
      </c>
      <c r="H6" s="203" t="inlineStr">
        <is>
          <t>— off (weekend)</t>
        </is>
      </c>
      <c r="I6" s="204" t="n"/>
      <c r="J6" s="204" t="n"/>
      <c r="K6" s="204" t="n"/>
      <c r="L6" s="204" t="n"/>
      <c r="M6" s="204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30" customHeight="1" s="363">
      <c r="A7" s="168" t="inlineStr">
        <is>
          <t>Role</t>
        </is>
      </c>
      <c r="B7" s="168" t="inlineStr">
        <is>
          <t>Staff / Contract Type</t>
        </is>
      </c>
      <c r="C7" s="168" t="inlineStr">
        <is>
          <t>Contract</t>
        </is>
      </c>
      <c r="D7" s="205" t="inlineStr">
        <is>
          <t>Monthly
Salary (€)</t>
        </is>
      </c>
      <c r="E7" s="168" t="inlineStr">
        <is>
          <t>Mon</t>
        </is>
      </c>
      <c r="F7" s="168" t="inlineStr">
        <is>
          <t>Tue</t>
        </is>
      </c>
      <c r="G7" s="168" t="inlineStr">
        <is>
          <t>Wed</t>
        </is>
      </c>
      <c r="H7" s="168" t="inlineStr">
        <is>
          <t>Thu</t>
        </is>
      </c>
      <c r="I7" s="168" t="inlineStr">
        <is>
          <t>Fri</t>
        </is>
      </c>
      <c r="J7" s="206" t="inlineStr">
        <is>
          <t>Sat</t>
        </is>
      </c>
      <c r="K7" s="206" t="inlineStr">
        <is>
          <t>Sun</t>
        </is>
      </c>
      <c r="L7" s="168" t="inlineStr">
        <is>
          <t>Days /
Week</t>
        </is>
      </c>
      <c r="M7" s="205" t="inlineStr">
        <is>
          <t>Monthly
Cost (€)</t>
        </is>
      </c>
      <c r="N7" s="168" t="inlineStr">
        <is>
          <t>Notes</t>
        </is>
      </c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5.5" customHeight="1" s="363">
      <c r="A8" s="207" t="inlineStr">
        <is>
          <t>INTERCONTINENTAL  (INTER)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9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1.75" customHeight="1" s="363">
      <c r="A9" s="210" t="inlineStr">
        <is>
          <t>RM  ⅓</t>
        </is>
      </c>
      <c r="B9" s="211" t="inlineStr">
        <is>
          <t>Rel. Manager — 3 days/wk here (Mon+Thu+Sat)</t>
        </is>
      </c>
      <c r="C9" s="211" t="inlineStr">
        <is>
          <t>Part-time allocation</t>
        </is>
      </c>
      <c r="D9" s="212" t="n">
        <v>1650</v>
      </c>
      <c r="E9" s="169" t="inlineStr">
        <is>
          <t>RM VISIT</t>
        </is>
      </c>
      <c r="F9" s="202" t="inlineStr">
        <is>
          <t>—</t>
        </is>
      </c>
      <c r="G9" s="202" t="inlineStr">
        <is>
          <t>—</t>
        </is>
      </c>
      <c r="H9" s="169" t="inlineStr">
        <is>
          <t>RM VISIT</t>
        </is>
      </c>
      <c r="I9" s="202" t="inlineStr">
        <is>
          <t>—</t>
        </is>
      </c>
      <c r="J9" s="202" t="inlineStr">
        <is>
          <t>—</t>
        </is>
      </c>
      <c r="K9" s="203" t="inlineStr">
        <is>
          <t>—</t>
        </is>
      </c>
      <c r="L9" s="213" t="n">
        <v>3</v>
      </c>
      <c r="M9" s="214">
        <f>D9</f>
        <v/>
      </c>
      <c r="N9" s="215" t="inlineStr">
        <is>
          <t>Rotates: Mon+Thu+Sat here · Tue+Fri at Hugos · Wed at 3rd site  |  3/6 days → €1,650/mo</t>
        </is>
      </c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1.75" customHeight="1" s="363">
      <c r="A10" s="216" t="inlineStr">
        <is>
          <t>Supervisor</t>
        </is>
      </c>
      <c r="B10" s="217" t="inlineStr">
        <is>
          <t>Spa Supervisor — Full-time</t>
        </is>
      </c>
      <c r="C10" s="217" t="inlineStr">
        <is>
          <t>Permanent</t>
        </is>
      </c>
      <c r="D10" s="218" t="n">
        <v>2200</v>
      </c>
      <c r="E10" s="202" t="inlineStr">
        <is>
          <t>—</t>
        </is>
      </c>
      <c r="F10" s="202" t="inlineStr">
        <is>
          <t>—</t>
        </is>
      </c>
      <c r="G10" s="200" t="inlineStr">
        <is>
          <t>WORK</t>
        </is>
      </c>
      <c r="H10" s="200" t="inlineStr">
        <is>
          <t>WORK</t>
        </is>
      </c>
      <c r="I10" s="200" t="inlineStr">
        <is>
          <t>WORK</t>
        </is>
      </c>
      <c r="J10" s="200" t="inlineStr">
        <is>
          <t>WORK</t>
        </is>
      </c>
      <c r="K10" s="200" t="inlineStr">
        <is>
          <t>WORK</t>
        </is>
      </c>
      <c r="L10" s="219" t="n">
        <v>5</v>
      </c>
      <c r="M10" s="220">
        <f>D10</f>
        <v/>
      </c>
      <c r="N10" s="215" t="inlineStr">
        <is>
          <t>Works Wed+Thu+Fri+Sat+Sun — off Mon+Tue  (Sat+Sun mandatory)</t>
        </is>
      </c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1.75" customHeight="1" s="363">
      <c r="A11" s="221" t="inlineStr">
        <is>
          <t>Advisor</t>
        </is>
      </c>
      <c r="B11" s="222" t="inlineStr">
        <is>
          <t>Spa Advisor — Full-time</t>
        </is>
      </c>
      <c r="C11" s="222" t="inlineStr">
        <is>
          <t>Permanent</t>
        </is>
      </c>
      <c r="D11" s="223" t="n">
        <v>1750</v>
      </c>
      <c r="E11" s="200" t="inlineStr">
        <is>
          <t>WORK</t>
        </is>
      </c>
      <c r="F11" s="200" t="inlineStr">
        <is>
          <t>WORK</t>
        </is>
      </c>
      <c r="G11" s="200" t="inlineStr">
        <is>
          <t>WORK</t>
        </is>
      </c>
      <c r="H11" s="202" t="inlineStr">
        <is>
          <t>—</t>
        </is>
      </c>
      <c r="I11" s="202" t="inlineStr">
        <is>
          <t>—</t>
        </is>
      </c>
      <c r="J11" s="200" t="inlineStr">
        <is>
          <t>WORK</t>
        </is>
      </c>
      <c r="K11" s="200" t="inlineStr">
        <is>
          <t>WORK</t>
        </is>
      </c>
      <c r="L11" s="224" t="n">
        <v>5</v>
      </c>
      <c r="M11" s="225">
        <f>D11</f>
        <v/>
      </c>
      <c r="N11" s="215" t="inlineStr">
        <is>
          <t>Works Mon+Tue+Wed+Sat+Sun — off Thu+Fri  (Sat+Sun mandatory)</t>
        </is>
      </c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21.75" customHeight="1" s="363">
      <c r="A12" s="221" t="inlineStr">
        <is>
          <t>Reception</t>
        </is>
      </c>
      <c r="B12" s="222" t="inlineStr">
        <is>
          <t>Receptionist — Full-time</t>
        </is>
      </c>
      <c r="C12" s="222" t="inlineStr">
        <is>
          <t>Permanent</t>
        </is>
      </c>
      <c r="D12" s="223" t="n">
        <v>1750</v>
      </c>
      <c r="E12" s="200" t="inlineStr">
        <is>
          <t>WORK</t>
        </is>
      </c>
      <c r="F12" s="201" t="inlineStr">
        <is>
          <t>COVER</t>
        </is>
      </c>
      <c r="G12" s="202" t="inlineStr">
        <is>
          <t>—</t>
        </is>
      </c>
      <c r="H12" s="200" t="inlineStr">
        <is>
          <t>WORK</t>
        </is>
      </c>
      <c r="I12" s="200" t="inlineStr">
        <is>
          <t>WORK</t>
        </is>
      </c>
      <c r="J12" s="200" t="inlineStr">
        <is>
          <t>WORK</t>
        </is>
      </c>
      <c r="K12" s="200" t="inlineStr">
        <is>
          <t>WORK</t>
        </is>
      </c>
      <c r="L12" s="224" t="n">
        <v>5</v>
      </c>
      <c r="M12" s="225">
        <f>D12</f>
        <v/>
      </c>
      <c r="N12" s="215" t="inlineStr">
        <is>
          <t>Works Mon+Thu+Fri+Sat+Sun — off Tue+Wed  (Sat+Sun mandatory)</t>
        </is>
      </c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1.75" customHeight="1" s="363">
      <c r="A13" s="226" t="inlineStr">
        <is>
          <t>Front desk covered by:</t>
        </is>
      </c>
      <c r="B13" s="227" t="inlineStr">
        <is>
          <t>No. of staff on duty each day (reception/relief — excl. RM)</t>
        </is>
      </c>
      <c r="C13" s="228" t="n"/>
      <c r="D13" s="228" t="n"/>
      <c r="E13" s="229" t="n">
        <v>3</v>
      </c>
      <c r="F13" s="230" t="n">
        <v>2</v>
      </c>
      <c r="G13" s="229" t="inlineStr">
        <is>
          <t xml:space="preserve">  2</t>
        </is>
      </c>
      <c r="H13" s="229" t="n">
        <v>3</v>
      </c>
      <c r="I13" s="229" t="inlineStr">
        <is>
          <t xml:space="preserve">  2</t>
        </is>
      </c>
      <c r="J13" s="229" t="inlineStr">
        <is>
          <t xml:space="preserve">  3</t>
        </is>
      </c>
      <c r="K13" s="229" t="inlineStr">
        <is>
          <t xml:space="preserve">  3</t>
        </is>
      </c>
      <c r="L13" s="228" t="n"/>
      <c r="M13" s="231">
        <f>SUM(M9:M12)</f>
        <v/>
      </c>
      <c r="N13" s="227" t="inlineStr">
        <is>
          <t>← Total non-therapist monthly cost</t>
        </is>
      </c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25.5" customHeight="1" s="363">
      <c r="A15" s="426" t="inlineStr">
        <is>
          <t>HUGOS</t>
        </is>
      </c>
      <c r="B15" s="413" t="n"/>
      <c r="C15" s="413" t="n"/>
      <c r="D15" s="413" t="n"/>
      <c r="E15" s="413" t="n"/>
      <c r="F15" s="413" t="n"/>
      <c r="G15" s="413" t="n"/>
      <c r="H15" s="413" t="n"/>
      <c r="I15" s="413" t="n"/>
      <c r="J15" s="413" t="n"/>
      <c r="K15" s="413" t="n"/>
      <c r="L15" s="413" t="n"/>
      <c r="M15" s="413" t="n"/>
      <c r="N15" s="414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21.75" customHeight="1" s="363">
      <c r="A16" s="210" t="inlineStr">
        <is>
          <t>RM  ⅓</t>
        </is>
      </c>
      <c r="B16" s="211" t="inlineStr">
        <is>
          <t>Rel. Manager — 2 days/wk here (Tue+Fri)</t>
        </is>
      </c>
      <c r="C16" s="211" t="inlineStr">
        <is>
          <t>Part-time allocation</t>
        </is>
      </c>
      <c r="D16" s="212" t="n">
        <v>1100</v>
      </c>
      <c r="E16" s="202" t="inlineStr">
        <is>
          <t>—</t>
        </is>
      </c>
      <c r="F16" s="169" t="inlineStr">
        <is>
          <t>RM VISIT</t>
        </is>
      </c>
      <c r="G16" s="169" t="inlineStr">
        <is>
          <t>RM VISIT</t>
        </is>
      </c>
      <c r="H16" s="202" t="inlineStr">
        <is>
          <t>—</t>
        </is>
      </c>
      <c r="I16" s="202" t="inlineStr">
        <is>
          <t>—</t>
        </is>
      </c>
      <c r="J16" s="203" t="inlineStr">
        <is>
          <t>—</t>
        </is>
      </c>
      <c r="K16" s="203" t="inlineStr">
        <is>
          <t>—</t>
        </is>
      </c>
      <c r="L16" s="213" t="n">
        <v>2</v>
      </c>
      <c r="M16" s="214">
        <f>D16</f>
        <v/>
      </c>
      <c r="N16" s="215" t="inlineStr">
        <is>
          <t>Rotates: Tue+Fri here · Mon+Thu+Sat at Inter · Wed at 3rd site  |  2/6 days → €1,100/mo</t>
        </is>
      </c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21.75" customHeight="1" s="363">
      <c r="A17" s="216" t="inlineStr">
        <is>
          <t>Supervisor</t>
        </is>
      </c>
      <c r="B17" s="217" t="inlineStr">
        <is>
          <t>Spa Supervisor — Full-time</t>
        </is>
      </c>
      <c r="C17" s="217" t="inlineStr">
        <is>
          <t>Permanent</t>
        </is>
      </c>
      <c r="D17" s="218" t="n">
        <v>2200</v>
      </c>
      <c r="E17" s="202" t="inlineStr">
        <is>
          <t>—</t>
        </is>
      </c>
      <c r="F17" s="200" t="inlineStr">
        <is>
          <t>WORK</t>
        </is>
      </c>
      <c r="G17" s="202" t="inlineStr">
        <is>
          <t>—</t>
        </is>
      </c>
      <c r="H17" s="200" t="inlineStr">
        <is>
          <t>WORK</t>
        </is>
      </c>
      <c r="I17" s="200" t="inlineStr">
        <is>
          <t>WORK</t>
        </is>
      </c>
      <c r="J17" s="200" t="inlineStr">
        <is>
          <t>WORK</t>
        </is>
      </c>
      <c r="K17" s="200" t="inlineStr">
        <is>
          <t>WORK</t>
        </is>
      </c>
      <c r="L17" s="219" t="n">
        <v>5</v>
      </c>
      <c r="M17" s="220">
        <f>D17</f>
        <v/>
      </c>
      <c r="N17" s="215" t="inlineStr">
        <is>
          <t>Works Tue+Thu+Fri+Sat+Sun — off Mon+Wed  (Sat+Sun mandatory)</t>
        </is>
      </c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21" t="inlineStr">
        <is>
          <t>Advisor</t>
        </is>
      </c>
      <c r="B18" s="222" t="inlineStr">
        <is>
          <t>Spa Advisor — Full-time</t>
        </is>
      </c>
      <c r="C18" s="222" t="inlineStr">
        <is>
          <t>Permanent</t>
        </is>
      </c>
      <c r="D18" s="223" t="n">
        <v>1750</v>
      </c>
      <c r="E18" s="200" t="inlineStr">
        <is>
          <t>WORK</t>
        </is>
      </c>
      <c r="F18" s="202" t="inlineStr">
        <is>
          <t>—</t>
        </is>
      </c>
      <c r="G18" s="200" t="inlineStr">
        <is>
          <t>WORK</t>
        </is>
      </c>
      <c r="H18" s="202" t="inlineStr">
        <is>
          <t>—</t>
        </is>
      </c>
      <c r="I18" s="200" t="inlineStr">
        <is>
          <t>WORK</t>
        </is>
      </c>
      <c r="J18" s="200" t="inlineStr">
        <is>
          <t>WORK</t>
        </is>
      </c>
      <c r="K18" s="200" t="inlineStr">
        <is>
          <t>WORK</t>
        </is>
      </c>
      <c r="L18" s="224" t="n">
        <v>5</v>
      </c>
      <c r="M18" s="225">
        <f>D18</f>
        <v/>
      </c>
      <c r="N18" s="215" t="inlineStr">
        <is>
          <t>Works Mon+Wed+Fri+Sat+Sun — off Tue+Thu  (Sat+Sun mandatory)</t>
        </is>
      </c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1.75" customHeight="1" s="363">
      <c r="A19" s="233" t="inlineStr">
        <is>
          <t>RT Reception</t>
        </is>
      </c>
      <c r="B19" s="234" t="inlineStr">
        <is>
          <t>Relief Receptionist — Part-time</t>
        </is>
      </c>
      <c r="C19" s="234" t="inlineStr">
        <is>
          <t>Part-time / relief</t>
        </is>
      </c>
      <c r="D19" s="235" t="n">
        <v>1000</v>
      </c>
      <c r="E19" s="200" t="inlineStr">
        <is>
          <t>WORK</t>
        </is>
      </c>
      <c r="F19" s="202" t="inlineStr">
        <is>
          <t>—</t>
        </is>
      </c>
      <c r="G19" s="201" t="inlineStr">
        <is>
          <t>COVER</t>
        </is>
      </c>
      <c r="H19" s="201" t="inlineStr">
        <is>
          <t>COVER</t>
        </is>
      </c>
      <c r="I19" s="202" t="inlineStr">
        <is>
          <t>—</t>
        </is>
      </c>
      <c r="J19" s="202" t="inlineStr">
        <is>
          <t>—</t>
        </is>
      </c>
      <c r="K19" s="202" t="inlineStr">
        <is>
          <t>—</t>
        </is>
      </c>
      <c r="L19" s="236" t="n">
        <v>3</v>
      </c>
      <c r="M19" s="237">
        <f>D19</f>
        <v/>
      </c>
      <c r="N19" s="215" t="inlineStr">
        <is>
          <t>Mon + Sat + Sun  (3 days) — boosts peak weekend front desk coverage</t>
        </is>
      </c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1.75" customHeight="1" s="363">
      <c r="A20" s="226" t="inlineStr">
        <is>
          <t>Front desk covered by:</t>
        </is>
      </c>
      <c r="B20" s="227" t="inlineStr">
        <is>
          <t>No. of staff on duty each day (reception/relief — excl. RM)</t>
        </is>
      </c>
      <c r="C20" s="228" t="n"/>
      <c r="D20" s="228" t="n"/>
      <c r="E20" s="229" t="inlineStr">
        <is>
          <t xml:space="preserve">  2</t>
        </is>
      </c>
      <c r="F20" s="230" t="inlineStr">
        <is>
          <t>✓ 1</t>
        </is>
      </c>
      <c r="G20" s="230" t="inlineStr">
        <is>
          <t>✓ 1</t>
        </is>
      </c>
      <c r="H20" s="230" t="inlineStr">
        <is>
          <t>✓ 1</t>
        </is>
      </c>
      <c r="I20" s="229" t="inlineStr">
        <is>
          <t xml:space="preserve">  2</t>
        </is>
      </c>
      <c r="J20" s="229" t="inlineStr">
        <is>
          <t xml:space="preserve">  3</t>
        </is>
      </c>
      <c r="K20" s="229" t="inlineStr">
        <is>
          <t xml:space="preserve">  3</t>
        </is>
      </c>
      <c r="L20" s="228" t="n"/>
      <c r="M20" s="231">
        <f>SUM(M16:M19)</f>
        <v/>
      </c>
      <c r="N20" s="227" t="inlineStr">
        <is>
          <t>← Total non-therapist monthly cost</t>
        </is>
      </c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36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25.5" customHeight="1" s="363">
      <c r="A22" s="427" t="inlineStr">
        <is>
          <t>HYATT</t>
        </is>
      </c>
      <c r="B22" s="413" t="n"/>
      <c r="C22" s="413" t="n"/>
      <c r="D22" s="413" t="n"/>
      <c r="E22" s="413" t="n"/>
      <c r="F22" s="413" t="n"/>
      <c r="G22" s="413" t="n"/>
      <c r="H22" s="413" t="n"/>
      <c r="I22" s="413" t="n"/>
      <c r="J22" s="413" t="n"/>
      <c r="K22" s="413" t="n"/>
      <c r="L22" s="413" t="n"/>
      <c r="M22" s="413" t="n"/>
      <c r="N22" s="414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21.75" customHeight="1" s="363">
      <c r="A23" s="216" t="inlineStr">
        <is>
          <t>Supervisor</t>
        </is>
      </c>
      <c r="B23" s="217" t="inlineStr">
        <is>
          <t>Spa Supervisor — Full-time</t>
        </is>
      </c>
      <c r="C23" s="217" t="inlineStr">
        <is>
          <t>Permanent</t>
        </is>
      </c>
      <c r="D23" s="218" t="n">
        <v>2200</v>
      </c>
      <c r="E23" s="202" t="inlineStr">
        <is>
          <t>—</t>
        </is>
      </c>
      <c r="F23" s="200" t="inlineStr">
        <is>
          <t>WORK</t>
        </is>
      </c>
      <c r="G23" s="200" t="inlineStr">
        <is>
          <t>WORK</t>
        </is>
      </c>
      <c r="H23" s="200" t="inlineStr">
        <is>
          <t>WORK</t>
        </is>
      </c>
      <c r="I23" s="202" t="inlineStr">
        <is>
          <t>—</t>
        </is>
      </c>
      <c r="J23" s="200" t="inlineStr">
        <is>
          <t>WORK</t>
        </is>
      </c>
      <c r="K23" s="200" t="inlineStr">
        <is>
          <t>WORK</t>
        </is>
      </c>
      <c r="L23" s="219" t="n">
        <v>5</v>
      </c>
      <c r="M23" s="220">
        <f>D23</f>
        <v/>
      </c>
      <c r="N23" s="215" t="inlineStr">
        <is>
          <t>Works Tue+Wed+Thu+Sat+Sun — off Mon+Fri  (Sat+Sun mandatory)</t>
        </is>
      </c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21.75" customHeight="1" s="363">
      <c r="A24" s="233" t="inlineStr">
        <is>
          <t>RT Reception</t>
        </is>
      </c>
      <c r="B24" s="234" t="inlineStr">
        <is>
          <t>Relief Receptionist — Weekends only</t>
        </is>
      </c>
      <c r="C24" s="234" t="inlineStr">
        <is>
          <t>Part-time / weekend</t>
        </is>
      </c>
      <c r="D24" s="235" t="n">
        <v>750</v>
      </c>
      <c r="E24" s="201" t="inlineStr">
        <is>
          <t>COVER</t>
        </is>
      </c>
      <c r="F24" s="202" t="inlineStr">
        <is>
          <t>—</t>
        </is>
      </c>
      <c r="G24" s="202" t="inlineStr">
        <is>
          <t>—</t>
        </is>
      </c>
      <c r="H24" s="202" t="inlineStr">
        <is>
          <t>—</t>
        </is>
      </c>
      <c r="I24" s="201" t="inlineStr">
        <is>
          <t>COVER</t>
        </is>
      </c>
      <c r="J24" s="169" t="inlineStr">
        <is>
          <t>RM VISIT</t>
        </is>
      </c>
      <c r="K24" s="202" t="inlineStr">
        <is>
          <t>—</t>
        </is>
      </c>
      <c r="L24" s="236" t="n">
        <v>2</v>
      </c>
      <c r="M24" s="237">
        <f>D24</f>
        <v/>
      </c>
      <c r="N24" s="215" t="inlineStr">
        <is>
          <t>Sat+Sun only — Supervisor covers Tue–Thu front desk</t>
        </is>
      </c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21.75" customHeight="1" s="363">
      <c r="A25" s="226" t="inlineStr">
        <is>
          <t>Front desk covered by:</t>
        </is>
      </c>
      <c r="B25" s="227" t="inlineStr">
        <is>
          <t>No. of staff on duty each day (reception/relief — excl. RM)</t>
        </is>
      </c>
      <c r="C25" s="228" t="n"/>
      <c r="D25" s="228" t="n"/>
      <c r="E25" s="230" t="inlineStr">
        <is>
          <t>✓ 1</t>
        </is>
      </c>
      <c r="F25" s="230" t="inlineStr">
        <is>
          <t>✓ 1</t>
        </is>
      </c>
      <c r="G25" s="230" t="inlineStr">
        <is>
          <t>✓ 1</t>
        </is>
      </c>
      <c r="H25" s="230" t="inlineStr">
        <is>
          <t>✓ 1</t>
        </is>
      </c>
      <c r="I25" s="230" t="inlineStr">
        <is>
          <t>✓ 1</t>
        </is>
      </c>
      <c r="J25" s="229" t="inlineStr">
        <is>
          <t xml:space="preserve">  2</t>
        </is>
      </c>
      <c r="K25" s="230" t="inlineStr">
        <is>
          <t>✓ 1</t>
        </is>
      </c>
      <c r="L25" s="228" t="n"/>
      <c r="M25" s="231">
        <f>SUM(M23:M24)</f>
        <v/>
      </c>
      <c r="N25" s="227" t="inlineStr">
        <is>
          <t>← Total non-therapist monthly cost</t>
        </is>
      </c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363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363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363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363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363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363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363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36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363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363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363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363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363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363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363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363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36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363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363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363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363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363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363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363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363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36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36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36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36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36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36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36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4">
    <mergeCell ref="A5:N5"/>
    <mergeCell ref="A6:C6"/>
    <mergeCell ref="A22:N22"/>
    <mergeCell ref="A15:N15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14" customWidth="1" style="363" min="1" max="1"/>
    <col width="34" customWidth="1" style="363" min="2" max="2"/>
    <col width="12" customWidth="1" style="363" min="3" max="4"/>
    <col width="9" customWidth="1" style="363" min="5" max="12"/>
    <col width="12" customWidth="1" style="363" min="13" max="13"/>
    <col width="30" customWidth="1" style="363" min="14" max="14"/>
  </cols>
  <sheetData>
    <row r="1" ht="7.5" customHeight="1" s="363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7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75" customHeight="1" s="363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198" t="inlineStr">
        <is>
          <t>CARISMA SPA  —  WEEKLY RECEPTION ROSTER  |  Inter  ·  Hugos  ·  Hyatt  |  Non-Therapist Staff  |  7-Day Coverage View</t>
        </is>
      </c>
      <c r="B5" s="239" t="n"/>
      <c r="C5" s="239" t="n"/>
      <c r="D5" s="239" t="n"/>
      <c r="E5" s="239" t="n"/>
      <c r="F5" s="239" t="n"/>
      <c r="G5" s="239" t="n"/>
      <c r="H5" s="239" t="n"/>
      <c r="I5" s="239" t="n"/>
      <c r="J5" s="239" t="n"/>
      <c r="K5" s="239" t="n"/>
      <c r="L5" s="239" t="n"/>
      <c r="M5" s="239" t="n"/>
      <c r="N5" s="240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199" t="inlineStr">
        <is>
          <t>LEGEND</t>
        </is>
      </c>
      <c r="B6" s="241" t="n"/>
      <c r="C6" s="242" t="n"/>
      <c r="D6" s="200" t="inlineStr">
        <is>
          <t>WORK — full day</t>
        </is>
      </c>
      <c r="E6" s="169" t="inlineStr">
        <is>
          <t>RM VISIT — site day</t>
        </is>
      </c>
      <c r="F6" s="201" t="inlineStr">
        <is>
          <t>COVER — relief/PT</t>
        </is>
      </c>
      <c r="G6" s="202" t="inlineStr">
        <is>
          <t>— off (weekday)</t>
        </is>
      </c>
      <c r="H6" s="203" t="inlineStr">
        <is>
          <t>— off (weekend)</t>
        </is>
      </c>
      <c r="I6" s="204" t="n"/>
      <c r="J6" s="204" t="n"/>
      <c r="K6" s="204" t="n"/>
      <c r="L6" s="204" t="n"/>
      <c r="M6" s="204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30" customHeight="1" s="363">
      <c r="A7" s="168" t="inlineStr">
        <is>
          <t>Role</t>
        </is>
      </c>
      <c r="B7" s="168" t="inlineStr">
        <is>
          <t>Staff / Contract Type</t>
        </is>
      </c>
      <c r="C7" s="168" t="inlineStr">
        <is>
          <t>Contract</t>
        </is>
      </c>
      <c r="D7" s="205" t="inlineStr">
        <is>
          <t>Monthly
Salary (€)</t>
        </is>
      </c>
      <c r="E7" s="168" t="inlineStr">
        <is>
          <t>Mon</t>
        </is>
      </c>
      <c r="F7" s="168" t="inlineStr">
        <is>
          <t>Tue</t>
        </is>
      </c>
      <c r="G7" s="168" t="inlineStr">
        <is>
          <t>Wed</t>
        </is>
      </c>
      <c r="H7" s="168" t="inlineStr">
        <is>
          <t>Thu</t>
        </is>
      </c>
      <c r="I7" s="168" t="inlineStr">
        <is>
          <t>Fri</t>
        </is>
      </c>
      <c r="J7" s="206" t="inlineStr">
        <is>
          <t>Sat</t>
        </is>
      </c>
      <c r="K7" s="206" t="inlineStr">
        <is>
          <t>Sun</t>
        </is>
      </c>
      <c r="L7" s="168" t="inlineStr">
        <is>
          <t>Days /
Week</t>
        </is>
      </c>
      <c r="M7" s="205" t="inlineStr">
        <is>
          <t>Monthly
Cost (€)</t>
        </is>
      </c>
      <c r="N7" s="168" t="inlineStr">
        <is>
          <t>Notes</t>
        </is>
      </c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5.5" customHeight="1" s="363">
      <c r="A8" s="207" t="inlineStr">
        <is>
          <t>Ramla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9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1.75" customHeight="1" s="363">
      <c r="A9" s="210" t="inlineStr">
        <is>
          <t>RM  ⅓</t>
        </is>
      </c>
      <c r="B9" s="211" t="inlineStr">
        <is>
          <t>Rel. Manager — 3 days/wk here (Mon+Thu+Sat)</t>
        </is>
      </c>
      <c r="C9" s="211" t="inlineStr">
        <is>
          <t>Part-time allocation</t>
        </is>
      </c>
      <c r="D9" s="212" t="n">
        <v>1650</v>
      </c>
      <c r="E9" s="169" t="inlineStr">
        <is>
          <t>RM VISIT</t>
        </is>
      </c>
      <c r="F9" s="202" t="inlineStr">
        <is>
          <t>—</t>
        </is>
      </c>
      <c r="G9" s="202" t="inlineStr">
        <is>
          <t>—</t>
        </is>
      </c>
      <c r="H9" s="169" t="inlineStr">
        <is>
          <t>RM VISIT</t>
        </is>
      </c>
      <c r="I9" s="169" t="inlineStr">
        <is>
          <t>RM VISIT</t>
        </is>
      </c>
      <c r="J9" s="203" t="inlineStr">
        <is>
          <t>—</t>
        </is>
      </c>
      <c r="K9" s="203" t="inlineStr">
        <is>
          <t>—</t>
        </is>
      </c>
      <c r="L9" s="213" t="n">
        <v>3</v>
      </c>
      <c r="M9" s="214">
        <f>D9</f>
        <v/>
      </c>
      <c r="N9" s="215" t="inlineStr">
        <is>
          <t>Rotates: Mon+Thu+Sat here · Tue+Fri at Hugos · Wed at 3rd site  |  3/6 days → €1,650/mo</t>
        </is>
      </c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1.75" customHeight="1" s="363">
      <c r="A10" s="216" t="inlineStr">
        <is>
          <t>Supervisor</t>
        </is>
      </c>
      <c r="B10" s="217" t="inlineStr">
        <is>
          <t>Spa Supervisor — Full-time</t>
        </is>
      </c>
      <c r="C10" s="217" t="inlineStr">
        <is>
          <t>Permanent</t>
        </is>
      </c>
      <c r="D10" s="218" t="n">
        <v>2200</v>
      </c>
      <c r="E10" s="202" t="inlineStr">
        <is>
          <t>—</t>
        </is>
      </c>
      <c r="F10" s="201" t="inlineStr">
        <is>
          <t>COVER</t>
        </is>
      </c>
      <c r="G10" s="200" t="inlineStr">
        <is>
          <t>WORK</t>
        </is>
      </c>
      <c r="H10" s="200" t="inlineStr">
        <is>
          <t>WORK</t>
        </is>
      </c>
      <c r="I10" s="200" t="inlineStr">
        <is>
          <t>WORK</t>
        </is>
      </c>
      <c r="J10" s="200" t="inlineStr">
        <is>
          <t>WORK</t>
        </is>
      </c>
      <c r="K10" s="200" t="inlineStr">
        <is>
          <t>WORK</t>
        </is>
      </c>
      <c r="L10" s="219" t="n">
        <v>5</v>
      </c>
      <c r="M10" s="220">
        <f>D10</f>
        <v/>
      </c>
      <c r="N10" s="215" t="inlineStr">
        <is>
          <t>Works Wed+Thu+Fri+Sat+Sun — off Mon+Tue  (Sat+Sun mandatory)</t>
        </is>
      </c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1.75" customHeight="1" s="363">
      <c r="A11" s="221" t="inlineStr">
        <is>
          <t>Advisor</t>
        </is>
      </c>
      <c r="B11" s="222" t="inlineStr">
        <is>
          <t>Spa Advisor — Full-time</t>
        </is>
      </c>
      <c r="C11" s="222" t="inlineStr">
        <is>
          <t>Permanent</t>
        </is>
      </c>
      <c r="D11" s="223" t="n">
        <v>1750</v>
      </c>
      <c r="E11" s="200" t="inlineStr">
        <is>
          <t>WORK</t>
        </is>
      </c>
      <c r="F11" s="200" t="inlineStr">
        <is>
          <t>WORK</t>
        </is>
      </c>
      <c r="G11" s="200" t="inlineStr">
        <is>
          <t>WORK</t>
        </is>
      </c>
      <c r="H11" s="202" t="inlineStr">
        <is>
          <t>—</t>
        </is>
      </c>
      <c r="I11" s="202" t="inlineStr">
        <is>
          <t>—</t>
        </is>
      </c>
      <c r="J11" s="200" t="inlineStr">
        <is>
          <t>WORK</t>
        </is>
      </c>
      <c r="K11" s="200" t="inlineStr">
        <is>
          <t>WORK</t>
        </is>
      </c>
      <c r="L11" s="224" t="n">
        <v>5</v>
      </c>
      <c r="M11" s="225">
        <f>D11</f>
        <v/>
      </c>
      <c r="N11" s="215" t="inlineStr">
        <is>
          <t>Works Mon+Tue+Wed+Sat+Sun — off Thu+Fri  (Sat+Sun mandatory)</t>
        </is>
      </c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idden="1" ht="21.75" customHeight="1" s="363">
      <c r="A12" s="221" t="inlineStr">
        <is>
          <t>Reception</t>
        </is>
      </c>
      <c r="B12" s="222" t="inlineStr">
        <is>
          <t>Receptionist — Full-time</t>
        </is>
      </c>
      <c r="C12" s="222" t="inlineStr">
        <is>
          <t>Permanent</t>
        </is>
      </c>
      <c r="D12" s="223" t="n">
        <v>1750</v>
      </c>
      <c r="E12" s="200" t="inlineStr">
        <is>
          <t>WORK</t>
        </is>
      </c>
      <c r="F12" s="201" t="inlineStr">
        <is>
          <t>COVER</t>
        </is>
      </c>
      <c r="G12" s="202" t="inlineStr">
        <is>
          <t>—</t>
        </is>
      </c>
      <c r="H12" s="200" t="inlineStr">
        <is>
          <t>WORK</t>
        </is>
      </c>
      <c r="I12" s="200" t="inlineStr">
        <is>
          <t>WORK</t>
        </is>
      </c>
      <c r="J12" s="200" t="inlineStr">
        <is>
          <t>WORK</t>
        </is>
      </c>
      <c r="K12" s="200" t="inlineStr">
        <is>
          <t>WORK</t>
        </is>
      </c>
      <c r="L12" s="224" t="n">
        <v>5</v>
      </c>
      <c r="M12" s="225">
        <f>D12</f>
        <v/>
      </c>
      <c r="N12" s="215" t="inlineStr">
        <is>
          <t>Works Mon+Thu+Fri+Sat+Sun — off Tue+Wed  (Sat+Sun mandatory)</t>
        </is>
      </c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1.75" customHeight="1" s="363">
      <c r="A13" s="226" t="inlineStr">
        <is>
          <t>Front desk covered by:</t>
        </is>
      </c>
      <c r="B13" s="227" t="inlineStr">
        <is>
          <t>No. of staff on duty each day (reception/relief — excl. RM)</t>
        </is>
      </c>
      <c r="C13" s="228" t="n"/>
      <c r="D13" s="228" t="n"/>
      <c r="E13" s="229" t="inlineStr">
        <is>
          <t xml:space="preserve">  2</t>
        </is>
      </c>
      <c r="F13" s="230" t="inlineStr">
        <is>
          <t>✓ 1</t>
        </is>
      </c>
      <c r="G13" s="229" t="inlineStr">
        <is>
          <t xml:space="preserve">  2</t>
        </is>
      </c>
      <c r="H13" s="229" t="inlineStr">
        <is>
          <t xml:space="preserve">  2</t>
        </is>
      </c>
      <c r="I13" s="229" t="inlineStr">
        <is>
          <t xml:space="preserve">  2</t>
        </is>
      </c>
      <c r="J13" s="229" t="inlineStr">
        <is>
          <t xml:space="preserve">  3</t>
        </is>
      </c>
      <c r="K13" s="229" t="inlineStr">
        <is>
          <t xml:space="preserve">  3</t>
        </is>
      </c>
      <c r="L13" s="228" t="n"/>
      <c r="M13" s="231">
        <f>SUM(M9:M12)</f>
        <v/>
      </c>
      <c r="N13" s="227" t="inlineStr">
        <is>
          <t>← Total non-therapist monthly cost</t>
        </is>
      </c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25.5" customHeight="1" s="363">
      <c r="A15" s="232" t="inlineStr">
        <is>
          <t>Odycy</t>
        </is>
      </c>
      <c r="B15" s="243" t="n"/>
      <c r="C15" s="243" t="n"/>
      <c r="D15" s="243" t="n"/>
      <c r="E15" s="243" t="n"/>
      <c r="F15" s="243" t="n"/>
      <c r="G15" s="243" t="n"/>
      <c r="H15" s="243" t="n"/>
      <c r="I15" s="243" t="n"/>
      <c r="J15" s="243" t="n"/>
      <c r="K15" s="243" t="n"/>
      <c r="L15" s="243" t="n"/>
      <c r="M15" s="243" t="n"/>
      <c r="N15" s="244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21.75" customHeight="1" s="363">
      <c r="A16" s="210" t="inlineStr">
        <is>
          <t>RM  ⅓</t>
        </is>
      </c>
      <c r="B16" s="211" t="inlineStr">
        <is>
          <t>Rel. Manager — 2 days/wk here (Tue+Fri)</t>
        </is>
      </c>
      <c r="C16" s="211" t="inlineStr">
        <is>
          <t>Part-time allocation</t>
        </is>
      </c>
      <c r="D16" s="212" t="n">
        <v>1100</v>
      </c>
      <c r="E16" s="202" t="inlineStr">
        <is>
          <t>—</t>
        </is>
      </c>
      <c r="F16" s="202" t="inlineStr">
        <is>
          <t>—</t>
        </is>
      </c>
      <c r="G16" s="169" t="inlineStr">
        <is>
          <t>RM VISIT</t>
        </is>
      </c>
      <c r="H16" s="202" t="inlineStr">
        <is>
          <t>—</t>
        </is>
      </c>
      <c r="I16" s="202" t="inlineStr">
        <is>
          <t>—</t>
        </is>
      </c>
      <c r="J16" s="203" t="inlineStr">
        <is>
          <t>—</t>
        </is>
      </c>
      <c r="K16" s="203" t="inlineStr">
        <is>
          <t>—</t>
        </is>
      </c>
      <c r="L16" s="213" t="n">
        <v>2</v>
      </c>
      <c r="M16" s="214">
        <f>D16</f>
        <v/>
      </c>
      <c r="N16" s="215" t="inlineStr">
        <is>
          <t>Rotates: Tue+Fri here · Mon+Thu+Sat at Inter · Wed at 3rd site  |  2/6 days → €1,100/mo</t>
        </is>
      </c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21.75" customHeight="1" s="363">
      <c r="A17" s="216" t="inlineStr">
        <is>
          <t>Supervisor</t>
        </is>
      </c>
      <c r="B17" s="217" t="inlineStr">
        <is>
          <t>Spa Supervisor — Full-time</t>
        </is>
      </c>
      <c r="C17" s="217" t="inlineStr">
        <is>
          <t>Permanent</t>
        </is>
      </c>
      <c r="D17" s="218" t="n">
        <v>2200</v>
      </c>
      <c r="E17" s="200" t="inlineStr">
        <is>
          <t>WORK</t>
        </is>
      </c>
      <c r="F17" s="202" t="inlineStr">
        <is>
          <t>—</t>
        </is>
      </c>
      <c r="G17" s="202" t="inlineStr">
        <is>
          <t>—</t>
        </is>
      </c>
      <c r="H17" s="200" t="inlineStr">
        <is>
          <t>WORK</t>
        </is>
      </c>
      <c r="I17" s="200" t="inlineStr">
        <is>
          <t>WORK</t>
        </is>
      </c>
      <c r="J17" s="200" t="inlineStr">
        <is>
          <t>WORK</t>
        </is>
      </c>
      <c r="K17" s="200" t="inlineStr">
        <is>
          <t>WORK</t>
        </is>
      </c>
      <c r="L17" s="219" t="n">
        <v>5</v>
      </c>
      <c r="M17" s="220">
        <f>D17</f>
        <v/>
      </c>
      <c r="N17" s="215" t="inlineStr">
        <is>
          <t>Works Tue+Thu+Fri+Sat+Sun — off Mon+Wed  (Sat+Sun mandatory)</t>
        </is>
      </c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33" t="inlineStr">
        <is>
          <t>RT Reception</t>
        </is>
      </c>
      <c r="B18" s="234" t="inlineStr">
        <is>
          <t>Relief Receptionist — Part-time</t>
        </is>
      </c>
      <c r="C18" s="234" t="inlineStr">
        <is>
          <t>Part-time / relief</t>
        </is>
      </c>
      <c r="D18" s="235" t="n">
        <v>1000</v>
      </c>
      <c r="E18" s="202" t="inlineStr">
        <is>
          <t>—</t>
        </is>
      </c>
      <c r="F18" s="201" t="inlineStr">
        <is>
          <t>COVER</t>
        </is>
      </c>
      <c r="G18" s="201" t="inlineStr">
        <is>
          <t>COVER</t>
        </is>
      </c>
      <c r="H18" s="202" t="inlineStr">
        <is>
          <t>—</t>
        </is>
      </c>
      <c r="I18" s="202" t="inlineStr">
        <is>
          <t>—</t>
        </is>
      </c>
      <c r="J18" s="202" t="inlineStr">
        <is>
          <t>—</t>
        </is>
      </c>
      <c r="K18" s="202" t="inlineStr">
        <is>
          <t>—</t>
        </is>
      </c>
      <c r="L18" s="236" t="n">
        <v>3</v>
      </c>
      <c r="M18" s="237">
        <f>D18</f>
        <v/>
      </c>
      <c r="N18" s="215" t="inlineStr">
        <is>
          <t>Mon + Sat + Sun  (3 days) — boosts peak weekend front desk coverage</t>
        </is>
      </c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1.75" customHeight="1" s="363">
      <c r="A19" s="226" t="inlineStr">
        <is>
          <t>Front desk covered by:</t>
        </is>
      </c>
      <c r="B19" s="227" t="inlineStr">
        <is>
          <t>No. of staff on duty each day (reception/relief — excl. RM)</t>
        </is>
      </c>
      <c r="C19" s="228" t="n"/>
      <c r="D19" s="228" t="n"/>
      <c r="E19" s="229" t="inlineStr">
        <is>
          <t xml:space="preserve">  2</t>
        </is>
      </c>
      <c r="F19" s="230" t="inlineStr">
        <is>
          <t>✓ 1</t>
        </is>
      </c>
      <c r="G19" s="230" t="inlineStr">
        <is>
          <t>✓ 1</t>
        </is>
      </c>
      <c r="H19" s="230" t="inlineStr">
        <is>
          <t>✓ 1</t>
        </is>
      </c>
      <c r="I19" s="229" t="inlineStr">
        <is>
          <t xml:space="preserve">  2</t>
        </is>
      </c>
      <c r="J19" s="229" t="inlineStr">
        <is>
          <t xml:space="preserve">  3</t>
        </is>
      </c>
      <c r="K19" s="229" t="inlineStr">
        <is>
          <t xml:space="preserve">  3</t>
        </is>
      </c>
      <c r="L19" s="228" t="n"/>
      <c r="M19" s="231">
        <f>SUM(M16:M18)</f>
        <v/>
      </c>
      <c r="N19" s="227" t="inlineStr">
        <is>
          <t>← Total non-therapist monthly cost</t>
        </is>
      </c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5.5" customHeight="1" s="363">
      <c r="A21" s="238" t="inlineStr">
        <is>
          <t>Riviera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6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21.75" customHeight="1" s="363">
      <c r="A22" s="216" t="inlineStr">
        <is>
          <t>Supervisor</t>
        </is>
      </c>
      <c r="B22" s="217" t="inlineStr">
        <is>
          <t>Spa Supervisor — Full-time</t>
        </is>
      </c>
      <c r="C22" s="217" t="inlineStr">
        <is>
          <t>Permanent</t>
        </is>
      </c>
      <c r="D22" s="218" t="n">
        <v>2200</v>
      </c>
      <c r="E22" s="202" t="inlineStr">
        <is>
          <t>—</t>
        </is>
      </c>
      <c r="F22" s="200" t="inlineStr">
        <is>
          <t>WORK</t>
        </is>
      </c>
      <c r="G22" s="200" t="inlineStr">
        <is>
          <t>WORK</t>
        </is>
      </c>
      <c r="H22" s="200" t="inlineStr">
        <is>
          <t>WORK</t>
        </is>
      </c>
      <c r="I22" s="202" t="inlineStr">
        <is>
          <t>—</t>
        </is>
      </c>
      <c r="J22" s="200" t="inlineStr">
        <is>
          <t>WORK</t>
        </is>
      </c>
      <c r="K22" s="200" t="inlineStr">
        <is>
          <t>WORK</t>
        </is>
      </c>
      <c r="L22" s="219" t="n">
        <v>5</v>
      </c>
      <c r="M22" s="220">
        <f>D22</f>
        <v/>
      </c>
      <c r="N22" s="215" t="inlineStr">
        <is>
          <t>Works Tue+Wed+Thu+Sat+Sun — off Mon+Fri  (Sat+Sun mandatory)</t>
        </is>
      </c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21.75" customHeight="1" s="363">
      <c r="A23" s="233" t="inlineStr">
        <is>
          <t>RT Reception</t>
        </is>
      </c>
      <c r="B23" s="234" t="inlineStr">
        <is>
          <t>Relief Receptionist — Weekends only</t>
        </is>
      </c>
      <c r="C23" s="234" t="inlineStr">
        <is>
          <t>Part-time / weekend</t>
        </is>
      </c>
      <c r="D23" s="235" t="n">
        <v>750</v>
      </c>
      <c r="E23" s="201" t="inlineStr">
        <is>
          <t>COVER</t>
        </is>
      </c>
      <c r="F23" s="202" t="inlineStr">
        <is>
          <t>—</t>
        </is>
      </c>
      <c r="G23" s="202" t="inlineStr">
        <is>
          <t>—</t>
        </is>
      </c>
      <c r="H23" s="202" t="inlineStr">
        <is>
          <t>—</t>
        </is>
      </c>
      <c r="I23" s="201" t="inlineStr">
        <is>
          <t>COVER</t>
        </is>
      </c>
      <c r="J23" s="169" t="inlineStr">
        <is>
          <t>RM VISIT</t>
        </is>
      </c>
      <c r="K23" s="202" t="inlineStr">
        <is>
          <t>—</t>
        </is>
      </c>
      <c r="L23" s="236" t="n">
        <v>2</v>
      </c>
      <c r="M23" s="237">
        <f>D23</f>
        <v/>
      </c>
      <c r="N23" s="215" t="inlineStr">
        <is>
          <t>Sat+Sun only — Supervisor covers Tue–Thu front desk</t>
        </is>
      </c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21.75" customHeight="1" s="363">
      <c r="A24" s="226" t="inlineStr">
        <is>
          <t>Front desk covered by:</t>
        </is>
      </c>
      <c r="B24" s="227" t="inlineStr">
        <is>
          <t>No. of staff on duty each day (reception/relief — excl. RM)</t>
        </is>
      </c>
      <c r="C24" s="228" t="n"/>
      <c r="D24" s="228" t="n"/>
      <c r="E24" s="247" t="inlineStr">
        <is>
          <t>⚠ 0</t>
        </is>
      </c>
      <c r="F24" s="230" t="inlineStr">
        <is>
          <t>✓ 1</t>
        </is>
      </c>
      <c r="G24" s="230" t="inlineStr">
        <is>
          <t>✓ 1</t>
        </is>
      </c>
      <c r="H24" s="230" t="inlineStr">
        <is>
          <t>✓ 1</t>
        </is>
      </c>
      <c r="I24" s="247" t="inlineStr">
        <is>
          <t>⚠ 0</t>
        </is>
      </c>
      <c r="J24" s="229" t="inlineStr">
        <is>
          <t xml:space="preserve">  2</t>
        </is>
      </c>
      <c r="K24" s="229" t="inlineStr">
        <is>
          <t xml:space="preserve">  2</t>
        </is>
      </c>
      <c r="L24" s="228" t="n"/>
      <c r="M24" s="231">
        <f>SUM(M22:M23)</f>
        <v/>
      </c>
      <c r="N24" s="227" t="inlineStr">
        <is>
          <t>← Total non-therapist monthly cost</t>
        </is>
      </c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363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363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363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363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363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363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363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363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36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363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363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363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363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363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363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363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363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36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363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363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363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363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363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363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363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363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36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36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36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36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36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36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36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14" customWidth="1" style="363" min="1" max="1"/>
    <col width="34" customWidth="1" style="363" min="2" max="2"/>
    <col width="12" customWidth="1" style="363" min="3" max="4"/>
    <col width="9" customWidth="1" style="363" min="5" max="12"/>
    <col width="12" customWidth="1" style="363" min="13" max="13"/>
    <col width="30" customWidth="1" style="363" min="14" max="14"/>
  </cols>
  <sheetData>
    <row r="1" ht="7.5" customHeight="1" s="363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7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75" customHeight="1" s="363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425" t="inlineStr">
        <is>
          <t>CARISMA SPA  —  WEEKLY RECEPTION ROSTER  |  Inter  ·  Hugos  ·  Hyatt  |  Non-Therapist Staff  |  7-Day Coverage View</t>
        </is>
      </c>
      <c r="B5" s="413" t="n"/>
      <c r="C5" s="413" t="n"/>
      <c r="D5" s="413" t="n"/>
      <c r="E5" s="413" t="n"/>
      <c r="F5" s="413" t="n"/>
      <c r="G5" s="413" t="n"/>
      <c r="H5" s="413" t="n"/>
      <c r="I5" s="413" t="n"/>
      <c r="J5" s="413" t="n"/>
      <c r="K5" s="413" t="n"/>
      <c r="L5" s="413" t="n"/>
      <c r="M5" s="413" t="n"/>
      <c r="N5" s="414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00" t="inlineStr">
        <is>
          <t>LEGEND</t>
        </is>
      </c>
      <c r="B6" s="413" t="n"/>
      <c r="C6" s="414" t="n"/>
      <c r="D6" s="200" t="inlineStr">
        <is>
          <t>WORK — full day</t>
        </is>
      </c>
      <c r="E6" s="169" t="inlineStr">
        <is>
          <t>RM VISIT — site day</t>
        </is>
      </c>
      <c r="F6" s="201" t="inlineStr">
        <is>
          <t>COVER — relief/PT</t>
        </is>
      </c>
      <c r="G6" s="202" t="inlineStr">
        <is>
          <t>— off (weekday)</t>
        </is>
      </c>
      <c r="H6" s="203" t="inlineStr">
        <is>
          <t>— off (weekend)</t>
        </is>
      </c>
      <c r="I6" s="204" t="n"/>
      <c r="J6" s="204" t="n"/>
      <c r="K6" s="204" t="n"/>
      <c r="L6" s="204" t="n"/>
      <c r="M6" s="204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30" customHeight="1" s="363">
      <c r="A7" s="168" t="inlineStr">
        <is>
          <t>Role</t>
        </is>
      </c>
      <c r="B7" s="168" t="inlineStr">
        <is>
          <t>Staff / Contract Type</t>
        </is>
      </c>
      <c r="C7" s="168" t="inlineStr">
        <is>
          <t>Contract</t>
        </is>
      </c>
      <c r="D7" s="205" t="inlineStr">
        <is>
          <t>Monthly
Salary (€)</t>
        </is>
      </c>
      <c r="E7" s="168" t="inlineStr">
        <is>
          <t>Mon</t>
        </is>
      </c>
      <c r="F7" s="168" t="inlineStr">
        <is>
          <t>Tue</t>
        </is>
      </c>
      <c r="G7" s="168" t="inlineStr">
        <is>
          <t>Wed</t>
        </is>
      </c>
      <c r="H7" s="168" t="inlineStr">
        <is>
          <t>Thu</t>
        </is>
      </c>
      <c r="I7" s="168" t="inlineStr">
        <is>
          <t>Fri</t>
        </is>
      </c>
      <c r="J7" s="206" t="inlineStr">
        <is>
          <t>Sat</t>
        </is>
      </c>
      <c r="K7" s="206" t="inlineStr">
        <is>
          <t>Sun</t>
        </is>
      </c>
      <c r="L7" s="168" t="inlineStr">
        <is>
          <t>Days /
Week</t>
        </is>
      </c>
      <c r="M7" s="205" t="inlineStr">
        <is>
          <t>Monthly
Cost (€)</t>
        </is>
      </c>
      <c r="N7" s="168" t="inlineStr">
        <is>
          <t>Notes</t>
        </is>
      </c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5.5" customHeight="1" s="363">
      <c r="A8" s="428" t="inlineStr">
        <is>
          <t>Excelsior</t>
        </is>
      </c>
      <c r="B8" s="413" t="n"/>
      <c r="C8" s="413" t="n"/>
      <c r="D8" s="413" t="n"/>
      <c r="E8" s="413" t="n"/>
      <c r="F8" s="413" t="n"/>
      <c r="G8" s="413" t="n"/>
      <c r="H8" s="413" t="n"/>
      <c r="I8" s="413" t="n"/>
      <c r="J8" s="413" t="n"/>
      <c r="K8" s="413" t="n"/>
      <c r="L8" s="413" t="n"/>
      <c r="M8" s="413" t="n"/>
      <c r="N8" s="414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1.75" customHeight="1" s="363">
      <c r="A9" s="210" t="inlineStr">
        <is>
          <t>RM  ⅓</t>
        </is>
      </c>
      <c r="B9" s="211" t="inlineStr">
        <is>
          <t>Rel. Manager — 3 days/wk here (Mon+Thu+Sat)</t>
        </is>
      </c>
      <c r="C9" s="211" t="inlineStr">
        <is>
          <t>Part-time allocation</t>
        </is>
      </c>
      <c r="D9" s="212" t="n">
        <v>1650</v>
      </c>
      <c r="E9" s="169" t="inlineStr">
        <is>
          <t>RM VISIT</t>
        </is>
      </c>
      <c r="F9" s="202" t="inlineStr">
        <is>
          <t>—</t>
        </is>
      </c>
      <c r="G9" s="202" t="inlineStr">
        <is>
          <t>—</t>
        </is>
      </c>
      <c r="H9" s="202" t="inlineStr">
        <is>
          <t>—</t>
        </is>
      </c>
      <c r="I9" s="7" t="n"/>
      <c r="J9" s="203" t="inlineStr">
        <is>
          <t>—</t>
        </is>
      </c>
      <c r="K9" s="203" t="inlineStr">
        <is>
          <t>—</t>
        </is>
      </c>
      <c r="L9" s="213" t="n">
        <v>3</v>
      </c>
      <c r="M9" s="214">
        <f>D9</f>
        <v/>
      </c>
      <c r="N9" s="215" t="inlineStr">
        <is>
          <t>Rotates: Mon+Thu+Sat here · Tue+Fri at Hugos · Wed at 3rd site  |  3/6 days → €1,650/mo</t>
        </is>
      </c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1.75" customHeight="1" s="363">
      <c r="A10" s="216" t="inlineStr">
        <is>
          <t>Supervisor</t>
        </is>
      </c>
      <c r="B10" s="217" t="inlineStr">
        <is>
          <t>Spa Supervisor — Full-time</t>
        </is>
      </c>
      <c r="C10" s="217" t="inlineStr">
        <is>
          <t>Permanent</t>
        </is>
      </c>
      <c r="D10" s="218" t="n">
        <v>2200</v>
      </c>
      <c r="E10" s="202" t="inlineStr">
        <is>
          <t>—</t>
        </is>
      </c>
      <c r="F10" s="201" t="inlineStr">
        <is>
          <t>COVER</t>
        </is>
      </c>
      <c r="G10" s="200" t="inlineStr">
        <is>
          <t>WORK</t>
        </is>
      </c>
      <c r="H10" s="200" t="inlineStr">
        <is>
          <t>WORK</t>
        </is>
      </c>
      <c r="I10" s="200" t="inlineStr">
        <is>
          <t>WORK</t>
        </is>
      </c>
      <c r="J10" s="200" t="inlineStr">
        <is>
          <t>WORK</t>
        </is>
      </c>
      <c r="K10" s="200" t="inlineStr">
        <is>
          <t>WORK</t>
        </is>
      </c>
      <c r="L10" s="219" t="n">
        <v>5</v>
      </c>
      <c r="M10" s="220">
        <f>D10</f>
        <v/>
      </c>
      <c r="N10" s="215" t="inlineStr">
        <is>
          <t>Works Wed+Thu+Fri+Sat+Sun — off Mon+Tue  (Sat+Sun mandatory)</t>
        </is>
      </c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1.75" customHeight="1" s="363">
      <c r="A11" s="221" t="inlineStr">
        <is>
          <t>Advisor</t>
        </is>
      </c>
      <c r="B11" s="222" t="inlineStr">
        <is>
          <t>Spa Advisor — Full-time</t>
        </is>
      </c>
      <c r="C11" s="222" t="inlineStr">
        <is>
          <t>Permanent</t>
        </is>
      </c>
      <c r="D11" s="223" t="n">
        <v>1750</v>
      </c>
      <c r="E11" s="200" t="inlineStr">
        <is>
          <t>WORK</t>
        </is>
      </c>
      <c r="F11" s="200" t="inlineStr">
        <is>
          <t>WORK</t>
        </is>
      </c>
      <c r="G11" s="200" t="inlineStr">
        <is>
          <t>WORK</t>
        </is>
      </c>
      <c r="H11" s="201" t="inlineStr">
        <is>
          <t>COVER</t>
        </is>
      </c>
      <c r="I11" s="201" t="inlineStr">
        <is>
          <t>COVER</t>
        </is>
      </c>
      <c r="J11" s="200" t="inlineStr">
        <is>
          <t>WORK</t>
        </is>
      </c>
      <c r="K11" s="200" t="inlineStr">
        <is>
          <t>WORK</t>
        </is>
      </c>
      <c r="L11" s="224" t="n">
        <v>5</v>
      </c>
      <c r="M11" s="225">
        <f>D11</f>
        <v/>
      </c>
      <c r="N11" s="215" t="inlineStr">
        <is>
          <t>Works Mon+Tue+Wed+Sat+Sun — off Thu+Fri  (Sat+Sun mandatory)</t>
        </is>
      </c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idden="1" ht="21.75" customHeight="1" s="363">
      <c r="A12" s="221" t="inlineStr">
        <is>
          <t>Reception</t>
        </is>
      </c>
      <c r="B12" s="222" t="inlineStr">
        <is>
          <t>Receptionist — Full-time</t>
        </is>
      </c>
      <c r="C12" s="222" t="inlineStr">
        <is>
          <t>Permanent</t>
        </is>
      </c>
      <c r="D12" s="223" t="n">
        <v>1750</v>
      </c>
      <c r="E12" s="200" t="inlineStr">
        <is>
          <t>WORK</t>
        </is>
      </c>
      <c r="F12" s="201" t="inlineStr">
        <is>
          <t>COVER</t>
        </is>
      </c>
      <c r="G12" s="202" t="inlineStr">
        <is>
          <t>—</t>
        </is>
      </c>
      <c r="H12" s="200" t="inlineStr">
        <is>
          <t>WORK</t>
        </is>
      </c>
      <c r="I12" s="200" t="inlineStr">
        <is>
          <t>WORK</t>
        </is>
      </c>
      <c r="J12" s="200" t="inlineStr">
        <is>
          <t>WORK</t>
        </is>
      </c>
      <c r="K12" s="200" t="inlineStr">
        <is>
          <t>WORK</t>
        </is>
      </c>
      <c r="L12" s="224" t="n">
        <v>5</v>
      </c>
      <c r="M12" s="225">
        <f>D12</f>
        <v/>
      </c>
      <c r="N12" s="215" t="inlineStr">
        <is>
          <t>Works Mon+Thu+Fri+Sat+Sun — off Tue+Wed  (Sat+Sun mandatory)</t>
        </is>
      </c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1.75" customHeight="1" s="363">
      <c r="A13" s="226" t="inlineStr">
        <is>
          <t>Front desk covered by:</t>
        </is>
      </c>
      <c r="B13" s="227" t="inlineStr">
        <is>
          <t>No. of staff on duty each day (reception/relief — excl. RM)</t>
        </is>
      </c>
      <c r="C13" s="228" t="n"/>
      <c r="D13" s="228" t="n"/>
      <c r="E13" s="229" t="inlineStr">
        <is>
          <t xml:space="preserve">  2</t>
        </is>
      </c>
      <c r="F13" s="230" t="inlineStr">
        <is>
          <t>✓ 1</t>
        </is>
      </c>
      <c r="G13" s="229" t="inlineStr">
        <is>
          <t xml:space="preserve">  2</t>
        </is>
      </c>
      <c r="H13" s="229" t="inlineStr">
        <is>
          <t xml:space="preserve">  2</t>
        </is>
      </c>
      <c r="I13" s="229" t="inlineStr">
        <is>
          <t xml:space="preserve">  2</t>
        </is>
      </c>
      <c r="J13" s="229" t="inlineStr">
        <is>
          <t xml:space="preserve">  3</t>
        </is>
      </c>
      <c r="K13" s="229" t="inlineStr">
        <is>
          <t xml:space="preserve">  3</t>
        </is>
      </c>
      <c r="L13" s="228" t="n"/>
      <c r="M13" s="231">
        <f>SUM(M9:M12)</f>
        <v/>
      </c>
      <c r="N13" s="227" t="inlineStr">
        <is>
          <t>← Total non-therapist monthly cost</t>
        </is>
      </c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25.5" customHeight="1" s="363">
      <c r="A15" s="426" t="inlineStr">
        <is>
          <t>Novotel</t>
        </is>
      </c>
      <c r="B15" s="413" t="n"/>
      <c r="C15" s="413" t="n"/>
      <c r="D15" s="413" t="n"/>
      <c r="E15" s="413" t="n"/>
      <c r="F15" s="413" t="n"/>
      <c r="G15" s="413" t="n"/>
      <c r="H15" s="413" t="n"/>
      <c r="I15" s="413" t="n"/>
      <c r="J15" s="413" t="n"/>
      <c r="K15" s="413" t="n"/>
      <c r="L15" s="413" t="n"/>
      <c r="M15" s="413" t="n"/>
      <c r="N15" s="414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21.75" customHeight="1" s="363">
      <c r="A16" s="210" t="inlineStr">
        <is>
          <t>RM  ⅓</t>
        </is>
      </c>
      <c r="B16" s="211" t="inlineStr">
        <is>
          <t>Rel. Manager — 2 days/wk here (Tue+Fri)</t>
        </is>
      </c>
      <c r="C16" s="211" t="inlineStr">
        <is>
          <t>Part-time allocation</t>
        </is>
      </c>
      <c r="D16" s="212" t="n">
        <v>1100</v>
      </c>
      <c r="E16" s="202" t="inlineStr">
        <is>
          <t>—</t>
        </is>
      </c>
      <c r="F16" s="202" t="inlineStr">
        <is>
          <t>—</t>
        </is>
      </c>
      <c r="G16" s="169" t="inlineStr">
        <is>
          <t>RM VISIT</t>
        </is>
      </c>
      <c r="H16" s="202" t="inlineStr">
        <is>
          <t>—</t>
        </is>
      </c>
      <c r="I16" s="202" t="inlineStr">
        <is>
          <t>—</t>
        </is>
      </c>
      <c r="J16" s="203" t="inlineStr">
        <is>
          <t>—</t>
        </is>
      </c>
      <c r="K16" s="203" t="inlineStr">
        <is>
          <t>—</t>
        </is>
      </c>
      <c r="L16" s="213" t="n">
        <v>2</v>
      </c>
      <c r="M16" s="214">
        <f>D16</f>
        <v/>
      </c>
      <c r="N16" s="215" t="inlineStr">
        <is>
          <t>Rotates: Tue+Fri here · Mon+Thu+Sat at Inter · Wed at 3rd site  |  2/6 days → €1,100/mo</t>
        </is>
      </c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21.75" customHeight="1" s="363">
      <c r="A17" s="216" t="inlineStr">
        <is>
          <t>Supervisor</t>
        </is>
      </c>
      <c r="B17" s="217" t="inlineStr">
        <is>
          <t>Spa Supervisor — Full-time</t>
        </is>
      </c>
      <c r="C17" s="217" t="inlineStr">
        <is>
          <t>Permanent</t>
        </is>
      </c>
      <c r="D17" s="218" t="n">
        <v>2200</v>
      </c>
      <c r="E17" s="201" t="inlineStr">
        <is>
          <t>COVER</t>
        </is>
      </c>
      <c r="F17" s="200" t="inlineStr">
        <is>
          <t>WORK</t>
        </is>
      </c>
      <c r="G17" s="202" t="inlineStr">
        <is>
          <t>—</t>
        </is>
      </c>
      <c r="H17" s="200" t="inlineStr">
        <is>
          <t>WORK</t>
        </is>
      </c>
      <c r="I17" s="200" t="inlineStr">
        <is>
          <t>WORK</t>
        </is>
      </c>
      <c r="J17" s="200" t="inlineStr">
        <is>
          <t>WORK</t>
        </is>
      </c>
      <c r="K17" s="200" t="inlineStr">
        <is>
          <t>WORK</t>
        </is>
      </c>
      <c r="L17" s="219" t="n">
        <v>5</v>
      </c>
      <c r="M17" s="220">
        <f>D17</f>
        <v/>
      </c>
      <c r="N17" s="215" t="inlineStr">
        <is>
          <t>Works Tue+Thu+Fri+Sat+Sun — off Mon+Wed  (Sat+Sun mandatory)</t>
        </is>
      </c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33" t="inlineStr">
        <is>
          <t>RT Reception</t>
        </is>
      </c>
      <c r="B18" s="234" t="inlineStr">
        <is>
          <t>Relief Receptionist — Part-time</t>
        </is>
      </c>
      <c r="C18" s="234" t="inlineStr">
        <is>
          <t>Part-time / relief</t>
        </is>
      </c>
      <c r="D18" s="235" t="n">
        <v>1000</v>
      </c>
      <c r="E18" s="202" t="inlineStr">
        <is>
          <t>—</t>
        </is>
      </c>
      <c r="F18" s="202" t="inlineStr">
        <is>
          <t>—</t>
        </is>
      </c>
      <c r="G18" s="201" t="inlineStr">
        <is>
          <t>COVER</t>
        </is>
      </c>
      <c r="H18" s="202" t="inlineStr">
        <is>
          <t>—</t>
        </is>
      </c>
      <c r="I18" s="202" t="inlineStr">
        <is>
          <t>—</t>
        </is>
      </c>
      <c r="J18" s="202" t="inlineStr">
        <is>
          <t>—</t>
        </is>
      </c>
      <c r="K18" s="202" t="inlineStr">
        <is>
          <t>—</t>
        </is>
      </c>
      <c r="L18" s="236" t="n">
        <v>3</v>
      </c>
      <c r="M18" s="237">
        <f>D18</f>
        <v/>
      </c>
      <c r="N18" s="215" t="inlineStr">
        <is>
          <t>Mon + Sat + Sun  (3 days) — boosts peak weekend front desk coverage</t>
        </is>
      </c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1.75" customHeight="1" s="363">
      <c r="A19" s="226" t="inlineStr">
        <is>
          <t>Front desk covered by:</t>
        </is>
      </c>
      <c r="B19" s="227" t="inlineStr">
        <is>
          <t>No. of staff on duty each day (reception/relief — excl. RM)</t>
        </is>
      </c>
      <c r="C19" s="228" t="n"/>
      <c r="D19" s="228" t="n"/>
      <c r="E19" s="229" t="inlineStr">
        <is>
          <t xml:space="preserve">  2</t>
        </is>
      </c>
      <c r="F19" s="230" t="inlineStr">
        <is>
          <t>✓ 1</t>
        </is>
      </c>
      <c r="G19" s="230" t="inlineStr">
        <is>
          <t>✓ 1</t>
        </is>
      </c>
      <c r="H19" s="230" t="inlineStr">
        <is>
          <t>✓ 1</t>
        </is>
      </c>
      <c r="I19" s="229" t="inlineStr">
        <is>
          <t xml:space="preserve">  2</t>
        </is>
      </c>
      <c r="J19" s="229" t="inlineStr">
        <is>
          <t xml:space="preserve">  3</t>
        </is>
      </c>
      <c r="K19" s="229" t="inlineStr">
        <is>
          <t xml:space="preserve">  3</t>
        </is>
      </c>
      <c r="L19" s="228" t="n"/>
      <c r="M19" s="231">
        <f>SUM(M16:M18)</f>
        <v/>
      </c>
      <c r="N19" s="227" t="inlineStr">
        <is>
          <t>← Total non-therapist monthly cost</t>
        </is>
      </c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5.5" customHeight="1" s="363">
      <c r="A21" s="207" t="inlineStr">
        <is>
          <t>SLIEMA</t>
        </is>
      </c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9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21.75" customHeight="1" s="363">
      <c r="A22" s="210" t="inlineStr">
        <is>
          <t>RM  ⅓</t>
        </is>
      </c>
      <c r="B22" s="211" t="inlineStr">
        <is>
          <t>Rel. Manager — 3 days/wk here (Mon+Thu+Sat)</t>
        </is>
      </c>
      <c r="C22" s="211" t="inlineStr">
        <is>
          <t>Part-time allocation</t>
        </is>
      </c>
      <c r="D22" s="212" t="n">
        <v>1650</v>
      </c>
      <c r="E22" s="7" t="n"/>
      <c r="F22" s="169" t="inlineStr">
        <is>
          <t>RM VISIT</t>
        </is>
      </c>
      <c r="G22" s="202" t="inlineStr">
        <is>
          <t>—</t>
        </is>
      </c>
      <c r="H22" s="169" t="inlineStr">
        <is>
          <t>RM VISIT</t>
        </is>
      </c>
      <c r="I22" s="169" t="inlineStr">
        <is>
          <t>RM VISIT</t>
        </is>
      </c>
      <c r="J22" s="202" t="inlineStr">
        <is>
          <t>—</t>
        </is>
      </c>
      <c r="K22" s="203" t="inlineStr">
        <is>
          <t>—</t>
        </is>
      </c>
      <c r="L22" s="213" t="n">
        <v>3</v>
      </c>
      <c r="M22" s="214">
        <f>D22</f>
        <v/>
      </c>
      <c r="N22" s="215" t="inlineStr">
        <is>
          <t>Rotates: Mon+Thu+Sat here · Tue+Fri at Hugos · Wed at 3rd site  |  3/6 days → €1,650/mo</t>
        </is>
      </c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21.75" customHeight="1" s="363">
      <c r="A23" s="216" t="inlineStr">
        <is>
          <t>Supervisor</t>
        </is>
      </c>
      <c r="B23" s="217" t="inlineStr">
        <is>
          <t>Spa Supervisor — Full-time</t>
        </is>
      </c>
      <c r="C23" s="217" t="inlineStr">
        <is>
          <t>Permanent</t>
        </is>
      </c>
      <c r="D23" s="218" t="n">
        <v>2200</v>
      </c>
      <c r="E23" s="202" t="inlineStr">
        <is>
          <t>—</t>
        </is>
      </c>
      <c r="F23" s="202" t="inlineStr">
        <is>
          <t>—</t>
        </is>
      </c>
      <c r="G23" s="200" t="inlineStr">
        <is>
          <t>WORK</t>
        </is>
      </c>
      <c r="H23" s="200" t="inlineStr">
        <is>
          <t>WORK</t>
        </is>
      </c>
      <c r="I23" s="200" t="inlineStr">
        <is>
          <t>WORK</t>
        </is>
      </c>
      <c r="J23" s="200" t="inlineStr">
        <is>
          <t>WORK</t>
        </is>
      </c>
      <c r="K23" s="200" t="inlineStr">
        <is>
          <t>WORK</t>
        </is>
      </c>
      <c r="L23" s="219" t="n">
        <v>5</v>
      </c>
      <c r="M23" s="220">
        <f>D23</f>
        <v/>
      </c>
      <c r="N23" s="215" t="inlineStr">
        <is>
          <t>Works Wed+Thu+Fri+Sat+Sun — off Mon+Tue  (Sat+Sun mandatory)</t>
        </is>
      </c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21.75" customHeight="1" s="363">
      <c r="A24" s="216" t="inlineStr">
        <is>
          <t>Supervisor</t>
        </is>
      </c>
      <c r="B24" s="222" t="inlineStr">
        <is>
          <t>Spa Advisor — Full-time</t>
        </is>
      </c>
      <c r="C24" s="222" t="inlineStr">
        <is>
          <t>Permanent</t>
        </is>
      </c>
      <c r="D24" s="223" t="n">
        <v>1750</v>
      </c>
      <c r="E24" s="200" t="inlineStr">
        <is>
          <t>WORK</t>
        </is>
      </c>
      <c r="F24" s="200" t="inlineStr">
        <is>
          <t>WORK</t>
        </is>
      </c>
      <c r="G24" s="200" t="inlineStr">
        <is>
          <t>WORK</t>
        </is>
      </c>
      <c r="H24" s="202" t="inlineStr">
        <is>
          <t>—</t>
        </is>
      </c>
      <c r="I24" s="202" t="inlineStr">
        <is>
          <t>—</t>
        </is>
      </c>
      <c r="J24" s="200" t="inlineStr">
        <is>
          <t>WORK</t>
        </is>
      </c>
      <c r="K24" s="200" t="inlineStr">
        <is>
          <t>WORK</t>
        </is>
      </c>
      <c r="L24" s="224" t="n">
        <v>5</v>
      </c>
      <c r="M24" s="225">
        <f>D24</f>
        <v/>
      </c>
      <c r="N24" s="215" t="inlineStr">
        <is>
          <t>Works Mon+Tue+Wed+Sat+Sun — off Thu+Fri  (Sat+Sun mandatory)</t>
        </is>
      </c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21.75" customHeight="1" s="363">
      <c r="A25" s="221" t="inlineStr">
        <is>
          <t>Advisor</t>
        </is>
      </c>
      <c r="B25" s="222" t="inlineStr">
        <is>
          <t>Receptionist — Full-time</t>
        </is>
      </c>
      <c r="C25" s="222" t="inlineStr">
        <is>
          <t>Permanent</t>
        </is>
      </c>
      <c r="D25" s="223" t="n">
        <v>1750</v>
      </c>
      <c r="E25" s="200" t="inlineStr">
        <is>
          <t>WORK</t>
        </is>
      </c>
      <c r="F25" s="200" t="inlineStr">
        <is>
          <t>WORK</t>
        </is>
      </c>
      <c r="G25" s="202" t="inlineStr">
        <is>
          <t>—</t>
        </is>
      </c>
      <c r="H25" s="200" t="inlineStr">
        <is>
          <t>WORK</t>
        </is>
      </c>
      <c r="I25" s="200" t="inlineStr">
        <is>
          <t>WORK</t>
        </is>
      </c>
      <c r="J25" s="200" t="inlineStr">
        <is>
          <t>WORK</t>
        </is>
      </c>
      <c r="K25" s="7" t="n"/>
      <c r="L25" s="224" t="n">
        <v>5</v>
      </c>
      <c r="M25" s="225">
        <f>D25</f>
        <v/>
      </c>
      <c r="N25" s="215" t="inlineStr">
        <is>
          <t>Works Mon+Thu+Fri+Sat+Sun — off Tue+Wed  (Sat+Sun mandatory)</t>
        </is>
      </c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21.75" customHeight="1" s="363">
      <c r="A26" s="226" t="inlineStr">
        <is>
          <t>Front desk covered by:</t>
        </is>
      </c>
      <c r="B26" s="227" t="inlineStr">
        <is>
          <t>No. of staff on duty each day (reception/relief — excl. RM)</t>
        </is>
      </c>
      <c r="C26" s="228" t="n"/>
      <c r="D26" s="228" t="n"/>
      <c r="E26" s="229" t="inlineStr">
        <is>
          <t xml:space="preserve">  2</t>
        </is>
      </c>
      <c r="F26" s="230" t="inlineStr">
        <is>
          <t>✓ 1</t>
        </is>
      </c>
      <c r="G26" s="229" t="inlineStr">
        <is>
          <t xml:space="preserve">  2</t>
        </is>
      </c>
      <c r="H26" s="229" t="inlineStr">
        <is>
          <t xml:space="preserve">  2</t>
        </is>
      </c>
      <c r="I26" s="229" t="inlineStr">
        <is>
          <t xml:space="preserve">  2</t>
        </is>
      </c>
      <c r="J26" s="229" t="inlineStr">
        <is>
          <t xml:space="preserve">  3</t>
        </is>
      </c>
      <c r="K26" s="229" t="inlineStr">
        <is>
          <t xml:space="preserve">  3</t>
        </is>
      </c>
      <c r="L26" s="228" t="n"/>
      <c r="M26" s="231">
        <f>SUM(M22:M25)</f>
        <v/>
      </c>
      <c r="N26" s="227" t="inlineStr">
        <is>
          <t>← Total non-therapist monthly cost</t>
        </is>
      </c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363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363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363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363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363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363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36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363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363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363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363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363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363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363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363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36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363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363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363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363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363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363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363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363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36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36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36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36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36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36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36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4">
    <mergeCell ref="A5:N5"/>
    <mergeCell ref="A8:N8"/>
    <mergeCell ref="A6:C6"/>
    <mergeCell ref="A15:N15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363" min="1" max="1"/>
    <col width="14" customWidth="1" style="363" min="2" max="9"/>
  </cols>
  <sheetData>
    <row r="1" ht="30" customHeight="1" s="363">
      <c r="A1" s="403" t="inlineStr">
        <is>
          <t>CARISMA SPA — REGIONAL CLUSTER ROTATION MODEL</t>
        </is>
      </c>
      <c r="B1" s="398" t="n"/>
      <c r="C1" s="398" t="n"/>
      <c r="D1" s="398" t="n"/>
      <c r="E1" s="398" t="n"/>
      <c r="F1" s="398" t="n"/>
      <c r="G1" s="398" t="n"/>
      <c r="H1" s="398" t="n"/>
      <c r="I1" s="399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04" t="inlineStr">
        <is>
          <t>Cluster A: Inter + Hugos + Hyatt (RM1)  |  Cluster B: Riviera + Sunny Coast + Ramla (RM2)  |  Cluster C: Excelsior + Novotel + Sliema (RM3)</t>
        </is>
      </c>
      <c r="B2" s="398" t="n"/>
      <c r="C2" s="398" t="n"/>
      <c r="D2" s="398" t="n"/>
      <c r="E2" s="398" t="n"/>
      <c r="F2" s="398" t="n"/>
      <c r="G2" s="398" t="n"/>
      <c r="H2" s="398" t="n"/>
      <c r="I2" s="399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9.75" customHeight="1" s="363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262" t="inlineStr">
        <is>
          <t>SECTION 1 — CLUSTER DEFINITIONS &amp; GEOGRAPHIC GROUPING</t>
        </is>
      </c>
      <c r="B4" s="398" t="n"/>
      <c r="C4" s="398" t="n"/>
      <c r="D4" s="398" t="n"/>
      <c r="E4" s="398" t="n"/>
      <c r="F4" s="398" t="n"/>
      <c r="G4" s="398" t="n"/>
      <c r="H4" s="398" t="n"/>
      <c r="I4" s="399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1.75" customHeight="1" s="363">
      <c r="A5" s="103" t="inlineStr">
        <is>
          <t>LOCATION</t>
        </is>
      </c>
      <c r="B5" s="103" t="inlineStr">
        <is>
          <t>CLUSTER</t>
        </is>
      </c>
      <c r="C5" s="103" t="inlineStr">
        <is>
          <t>REVENUE/MO</t>
        </is>
      </c>
      <c r="D5" s="103" t="inlineStr">
        <is>
          <t>DEMAND TIER</t>
        </is>
      </c>
      <c r="E5" s="103" t="inlineStr">
        <is>
          <t>RM</t>
        </is>
      </c>
      <c r="F5" s="103" t="inlineStr">
        <is>
          <t>DISTANCE TO HUB</t>
        </is>
      </c>
      <c r="G5" s="57" t="n"/>
      <c r="H5" s="57" t="n"/>
      <c r="I5" s="5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9.5" customHeight="1" s="363">
      <c r="A6" s="21" t="inlineStr">
        <is>
          <t>Inter</t>
        </is>
      </c>
      <c r="B6" s="249" t="inlineStr">
        <is>
          <t>Cluster A</t>
        </is>
      </c>
      <c r="C6" s="250" t="n">
        <v>49475</v>
      </c>
      <c r="D6" s="249" t="inlineStr">
        <is>
          <t>High</t>
        </is>
      </c>
      <c r="E6" s="249" t="inlineStr">
        <is>
          <t>RM1</t>
        </is>
      </c>
      <c r="F6" s="249" t="inlineStr">
        <is>
          <t>Hub — RM1 base</t>
        </is>
      </c>
      <c r="G6" s="57" t="n"/>
      <c r="H6" s="57" t="n"/>
      <c r="I6" s="5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9.5" customHeight="1" s="363">
      <c r="A7" s="21" t="inlineStr">
        <is>
          <t>Hugos</t>
        </is>
      </c>
      <c r="B7" s="249" t="inlineStr">
        <is>
          <t>Cluster A</t>
        </is>
      </c>
      <c r="C7" s="250" t="n">
        <v>47546</v>
      </c>
      <c r="D7" s="249" t="inlineStr">
        <is>
          <t>High</t>
        </is>
      </c>
      <c r="E7" s="249" t="inlineStr">
        <is>
          <t>RM1</t>
        </is>
      </c>
      <c r="F7" s="249" t="inlineStr">
        <is>
          <t>~2 min walk from Inter</t>
        </is>
      </c>
      <c r="G7" s="57" t="n"/>
      <c r="H7" s="57" t="n"/>
      <c r="I7" s="5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9.5" customHeight="1" s="363">
      <c r="A8" s="21" t="inlineStr">
        <is>
          <t>Hyatt</t>
        </is>
      </c>
      <c r="B8" s="249" t="inlineStr">
        <is>
          <t>Cluster A</t>
        </is>
      </c>
      <c r="C8" s="250" t="n">
        <v>25358</v>
      </c>
      <c r="D8" s="249" t="inlineStr">
        <is>
          <t>Medium-High</t>
        </is>
      </c>
      <c r="E8" s="249" t="inlineStr">
        <is>
          <t>RM1</t>
        </is>
      </c>
      <c r="F8" s="249" t="inlineStr">
        <is>
          <t>~4 min walk</t>
        </is>
      </c>
      <c r="G8" s="57" t="n"/>
      <c r="H8" s="57" t="n"/>
      <c r="I8" s="5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9.5" customHeight="1" s="363">
      <c r="A9" s="41" t="inlineStr">
        <is>
          <t>Riviera</t>
        </is>
      </c>
      <c r="B9" s="251" t="inlineStr">
        <is>
          <t>Cluster B</t>
        </is>
      </c>
      <c r="C9" s="252" t="n">
        <v>19936</v>
      </c>
      <c r="D9" s="251" t="inlineStr">
        <is>
          <t>Medium</t>
        </is>
      </c>
      <c r="E9" s="251" t="inlineStr">
        <is>
          <t>RM2</t>
        </is>
      </c>
      <c r="F9" s="251" t="inlineStr">
        <is>
          <t>Hub — RM2 base</t>
        </is>
      </c>
      <c r="G9" s="57" t="n"/>
      <c r="H9" s="57" t="n"/>
      <c r="I9" s="5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9.5" customHeight="1" s="363">
      <c r="A10" s="41" t="inlineStr">
        <is>
          <t>Sunny Coast (Odycy)</t>
        </is>
      </c>
      <c r="B10" s="251" t="inlineStr">
        <is>
          <t>Cluster B</t>
        </is>
      </c>
      <c r="C10" s="252" t="n">
        <v>18204</v>
      </c>
      <c r="D10" s="251" t="inlineStr">
        <is>
          <t>Medium</t>
        </is>
      </c>
      <c r="E10" s="251" t="inlineStr">
        <is>
          <t>RM2</t>
        </is>
      </c>
      <c r="F10" s="251" t="inlineStr">
        <is>
          <t>~5 min from Riviera</t>
        </is>
      </c>
      <c r="G10" s="57" t="n"/>
      <c r="H10" s="57" t="n"/>
      <c r="I10" s="5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9.5" customHeight="1" s="363">
      <c r="A11" s="41" t="inlineStr">
        <is>
          <t>Ramla</t>
        </is>
      </c>
      <c r="B11" s="251" t="inlineStr">
        <is>
          <t>Cluster B</t>
        </is>
      </c>
      <c r="C11" s="252" t="n">
        <v>29886</v>
      </c>
      <c r="D11" s="251" t="inlineStr">
        <is>
          <t>Medium-High</t>
        </is>
      </c>
      <c r="E11" s="251" t="inlineStr">
        <is>
          <t>RM2</t>
        </is>
      </c>
      <c r="F11" s="251" t="inlineStr">
        <is>
          <t>RM2 management Sat</t>
        </is>
      </c>
      <c r="G11" s="57" t="n"/>
      <c r="H11" s="57" t="n"/>
      <c r="I11" s="5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9.5" customHeight="1" s="363">
      <c r="A12" s="45" t="inlineStr">
        <is>
          <t>Excelsior</t>
        </is>
      </c>
      <c r="B12" s="253" t="inlineStr">
        <is>
          <t>Cluster C</t>
        </is>
      </c>
      <c r="C12" s="254" t="n">
        <v>24263</v>
      </c>
      <c r="D12" s="253" t="inlineStr">
        <is>
          <t>Medium-High</t>
        </is>
      </c>
      <c r="E12" s="253" t="inlineStr">
        <is>
          <t>RM3</t>
        </is>
      </c>
      <c r="F12" s="253" t="inlineStr">
        <is>
          <t>Hub — RM3 base</t>
        </is>
      </c>
      <c r="G12" s="57" t="n"/>
      <c r="H12" s="57" t="n"/>
      <c r="I12" s="5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9.5" customHeight="1" s="363">
      <c r="A13" s="45" t="inlineStr">
        <is>
          <t>Novotel</t>
        </is>
      </c>
      <c r="B13" s="253" t="inlineStr">
        <is>
          <t>Cluster C</t>
        </is>
      </c>
      <c r="C13" s="254" t="n">
        <v>14000</v>
      </c>
      <c r="D13" s="253" t="inlineStr">
        <is>
          <t>Low-Medium</t>
        </is>
      </c>
      <c r="E13" s="253" t="inlineStr">
        <is>
          <t>RM3</t>
        </is>
      </c>
      <c r="F13" s="253" t="inlineStr">
        <is>
          <t>RM3 management Sat</t>
        </is>
      </c>
      <c r="G13" s="57" t="n"/>
      <c r="H13" s="57" t="n"/>
      <c r="I13" s="5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9.5" customHeight="1" s="363">
      <c r="A14" s="45" t="inlineStr">
        <is>
          <t>Sliema (NEW)</t>
        </is>
      </c>
      <c r="B14" s="253" t="inlineStr">
        <is>
          <t>Cluster C</t>
        </is>
      </c>
      <c r="C14" s="254" t="n">
        <v>41667</v>
      </c>
      <c r="D14" s="253" t="inlineStr">
        <is>
          <t>Ramping</t>
        </is>
      </c>
      <c r="E14" s="253" t="inlineStr">
        <is>
          <t>RM3</t>
        </is>
      </c>
      <c r="F14" s="253" t="inlineStr">
        <is>
          <t>~7 min walk</t>
        </is>
      </c>
      <c r="G14" s="57" t="n"/>
      <c r="H14" s="57" t="n"/>
      <c r="I14" s="5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21.75" customHeight="1" s="363">
      <c r="A16" s="262" t="inlineStr">
        <is>
          <t>SECTION 2 — FLOATING STAFF MODEL: DEDICATED vs CLUSTER COMPARISON</t>
        </is>
      </c>
      <c r="B16" s="398" t="n"/>
      <c r="C16" s="398" t="n"/>
      <c r="D16" s="398" t="n"/>
      <c r="E16" s="398" t="n"/>
      <c r="F16" s="398" t="n"/>
      <c r="G16" s="398" t="n"/>
      <c r="H16" s="398" t="n"/>
      <c r="I16" s="399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21.75" customHeight="1" s="363">
      <c r="A17" s="255" t="inlineStr">
        <is>
          <t>CLUSTER</t>
        </is>
      </c>
      <c r="B17" s="255" t="inlineStr">
        <is>
          <t>METRIC</t>
        </is>
      </c>
      <c r="C17" s="255" t="inlineStr">
        <is>
          <t>DEDICATED MODEL</t>
        </is>
      </c>
      <c r="D17" s="255" t="inlineStr">
        <is>
          <t>CLUSTER MODEL</t>
        </is>
      </c>
      <c r="E17" s="255" t="inlineStr">
        <is>
          <t>SAVING/MO</t>
        </is>
      </c>
      <c r="F17" s="255" t="inlineStr">
        <is>
          <t>SAVING/YR</t>
        </is>
      </c>
      <c r="G17" s="255" t="inlineStr">
        <is>
          <t>NOTES</t>
        </is>
      </c>
      <c r="H17" s="57" t="n"/>
      <c r="I17" s="5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9.5" customHeight="1" s="363">
      <c r="A18" s="256" t="inlineStr">
        <is>
          <t>Cluster A</t>
        </is>
      </c>
      <c r="B18" s="256" t="inlineStr">
        <is>
          <t>Therapists</t>
        </is>
      </c>
      <c r="C18" s="257" t="inlineStr">
        <is>
          <t>12 dedicated</t>
        </is>
      </c>
      <c r="D18" s="257" t="inlineStr">
        <is>
          <t>8 dedicated + 3 floating</t>
        </is>
      </c>
      <c r="E18" s="257" t="inlineStr">
        <is>
          <t>€6,000</t>
        </is>
      </c>
      <c r="F18" s="257" t="inlineStr">
        <is>
          <t>€72,000</t>
        </is>
      </c>
      <c r="G18" s="257" t="inlineStr">
        <is>
          <t>Floaters cover Hyatt &amp; Odycy demand spikes</t>
        </is>
      </c>
      <c r="H18" s="57" t="n"/>
      <c r="I18" s="5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9.5" customHeight="1" s="363">
      <c r="A19" s="258" t="inlineStr">
        <is>
          <t>Cluster A</t>
        </is>
      </c>
      <c r="B19" s="258" t="inlineStr">
        <is>
          <t>Receptionists</t>
        </is>
      </c>
      <c r="C19" s="259" t="inlineStr">
        <is>
          <t>4 dedicated</t>
        </is>
      </c>
      <c r="D19" s="259" t="inlineStr">
        <is>
          <t>3 dedicated + 1 floating</t>
        </is>
      </c>
      <c r="E19" s="259" t="inlineStr">
        <is>
          <t>€1,400</t>
        </is>
      </c>
      <c r="F19" s="259" t="inlineStr">
        <is>
          <t>€16,800</t>
        </is>
      </c>
      <c r="G19" s="259" t="inlineStr">
        <is>
          <t>Floating recep. covers Odycy (no dedicated desk)</t>
        </is>
      </c>
      <c r="H19" s="57" t="n"/>
      <c r="I19" s="5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256" t="inlineStr">
        <is>
          <t>Cluster A</t>
        </is>
      </c>
      <c r="B20" s="256" t="inlineStr">
        <is>
          <t>Supervisors</t>
        </is>
      </c>
      <c r="C20" s="257" t="inlineStr">
        <is>
          <t>4 dedicated</t>
        </is>
      </c>
      <c r="D20" s="257" t="inlineStr">
        <is>
          <t>2 dedicated (Inter+Hugos)</t>
        </is>
      </c>
      <c r="E20" s="257" t="inlineStr">
        <is>
          <t>€3,400</t>
        </is>
      </c>
      <c r="F20" s="257" t="inlineStr">
        <is>
          <t>€40,800</t>
        </is>
      </c>
      <c r="G20" s="257" t="inlineStr">
        <is>
          <t>RM1 absorbs oversight for Hyatt &amp; Odycy</t>
        </is>
      </c>
      <c r="H20" s="57" t="n"/>
      <c r="I20" s="5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60" t="inlineStr">
        <is>
          <t>Cluster A</t>
        </is>
      </c>
      <c r="B21" s="260" t="inlineStr">
        <is>
          <t>TOTAL BASE COST</t>
        </is>
      </c>
      <c r="C21" s="261" t="inlineStr">
        <is>
          <t>€30,400</t>
        </is>
      </c>
      <c r="D21" s="261" t="inlineStr">
        <is>
          <t>€25,800</t>
        </is>
      </c>
      <c r="E21" s="261" t="inlineStr">
        <is>
          <t>€4,600</t>
        </is>
      </c>
      <c r="F21" s="261" t="inlineStr">
        <is>
          <t>€55,200</t>
        </is>
      </c>
      <c r="G21" s="261" t="inlineStr">
        <is>
          <t>15.1% cost reduction for Cluster A</t>
        </is>
      </c>
      <c r="H21" s="57" t="n"/>
      <c r="I21" s="5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56" t="inlineStr">
        <is>
          <t>Cluster B</t>
        </is>
      </c>
      <c r="B22" s="256" t="inlineStr">
        <is>
          <t>Therapists</t>
        </is>
      </c>
      <c r="C22" s="257" t="inlineStr">
        <is>
          <t>5 dedicated</t>
        </is>
      </c>
      <c r="D22" s="257" t="inlineStr">
        <is>
          <t>3 dedicated + 2 floating</t>
        </is>
      </c>
      <c r="E22" s="257" t="inlineStr">
        <is>
          <t>€3,000</t>
        </is>
      </c>
      <c r="F22" s="257" t="inlineStr">
        <is>
          <t>€36,000</t>
        </is>
      </c>
      <c r="G22" s="257" t="inlineStr">
        <is>
          <t>Novotel fully served by floating pool</t>
        </is>
      </c>
      <c r="H22" s="57" t="n"/>
      <c r="I22" s="5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258" t="inlineStr">
        <is>
          <t>Cluster B</t>
        </is>
      </c>
      <c r="B23" s="258" t="inlineStr">
        <is>
          <t>Receptionists</t>
        </is>
      </c>
      <c r="C23" s="259" t="inlineStr">
        <is>
          <t>3 dedicated</t>
        </is>
      </c>
      <c r="D23" s="259" t="inlineStr">
        <is>
          <t>2 dedicated + 1 floating</t>
        </is>
      </c>
      <c r="E23" s="259" t="inlineStr">
        <is>
          <t>€1,400</t>
        </is>
      </c>
      <c r="F23" s="259" t="inlineStr">
        <is>
          <t>€16,800</t>
        </is>
      </c>
      <c r="G23" s="259" t="inlineStr">
        <is>
          <t>Novotel reception via floater</t>
        </is>
      </c>
      <c r="H23" s="57" t="n"/>
      <c r="I23" s="5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56" t="inlineStr">
        <is>
          <t>Cluster B</t>
        </is>
      </c>
      <c r="B24" s="256" t="inlineStr">
        <is>
          <t>Supervisors</t>
        </is>
      </c>
      <c r="C24" s="257" t="inlineStr">
        <is>
          <t>3 dedicated</t>
        </is>
      </c>
      <c r="D24" s="257" t="inlineStr">
        <is>
          <t>1 dedicated (Excelsior)</t>
        </is>
      </c>
      <c r="E24" s="257" t="inlineStr">
        <is>
          <t>€3,400</t>
        </is>
      </c>
      <c r="F24" s="257" t="inlineStr">
        <is>
          <t>€40,800</t>
        </is>
      </c>
      <c r="G24" s="257" t="inlineStr">
        <is>
          <t>RM2 covers Novotel + Sliema oversight</t>
        </is>
      </c>
      <c r="H24" s="57" t="n"/>
      <c r="I24" s="5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260" t="inlineStr">
        <is>
          <t>Cluster B</t>
        </is>
      </c>
      <c r="B25" s="260" t="inlineStr">
        <is>
          <t>TOTAL BASE COST</t>
        </is>
      </c>
      <c r="C25" s="261" t="inlineStr">
        <is>
          <t>€16,800</t>
        </is>
      </c>
      <c r="D25" s="261" t="inlineStr">
        <is>
          <t>€13,625</t>
        </is>
      </c>
      <c r="E25" s="261" t="inlineStr">
        <is>
          <t>€3,175</t>
        </is>
      </c>
      <c r="F25" s="261" t="inlineStr">
        <is>
          <t>€38,100</t>
        </is>
      </c>
      <c r="G25" s="261" t="inlineStr">
        <is>
          <t>18.9% cost reduction for Cluster B</t>
        </is>
      </c>
      <c r="H25" s="57" t="n"/>
      <c r="I25" s="5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262" t="inlineStr">
        <is>
          <t>TOTAL</t>
        </is>
      </c>
      <c r="B26" s="262" t="inlineStr">
        <is>
          <t>ALL CLUSTERS</t>
        </is>
      </c>
      <c r="C26" s="9" t="inlineStr">
        <is>
          <t>€71,000/mo</t>
        </is>
      </c>
      <c r="D26" s="9" t="inlineStr">
        <is>
          <t>€55,325/mo</t>
        </is>
      </c>
      <c r="E26" s="9" t="inlineStr">
        <is>
          <t>€15,675</t>
        </is>
      </c>
      <c r="F26" s="9" t="inlineStr">
        <is>
          <t>€188,100</t>
        </is>
      </c>
      <c r="G26" s="9" t="inlineStr">
        <is>
          <t>22.1% total HC reduction — 43 FTE → 34 FTE</t>
        </is>
      </c>
      <c r="H26" s="57" t="n"/>
      <c r="I26" s="5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363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21.75" customHeight="1" s="363">
      <c r="A28" s="262" t="inlineStr">
        <is>
          <t>SECTION 3 — CLUSTER A: 7-DAY FLOATING THERAPIST DEPLOYMENT PLAN</t>
        </is>
      </c>
      <c r="B28" s="398" t="n"/>
      <c r="C28" s="398" t="n"/>
      <c r="D28" s="398" t="n"/>
      <c r="E28" s="398" t="n"/>
      <c r="F28" s="398" t="n"/>
      <c r="G28" s="398" t="n"/>
      <c r="H28" s="398" t="n"/>
      <c r="I28" s="399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21.75" customHeight="1" s="363">
      <c r="A29" s="263" t="inlineStr">
        <is>
          <t>FLOATER</t>
        </is>
      </c>
      <c r="B29" s="263" t="inlineStr">
        <is>
          <t>DEMAND LEVEL</t>
        </is>
      </c>
      <c r="C29" s="263" t="inlineStr">
        <is>
          <t>MON</t>
        </is>
      </c>
      <c r="D29" s="263" t="inlineStr">
        <is>
          <t>TUE</t>
        </is>
      </c>
      <c r="E29" s="263" t="inlineStr">
        <is>
          <t>WED</t>
        </is>
      </c>
      <c r="F29" s="263" t="inlineStr">
        <is>
          <t>THU</t>
        </is>
      </c>
      <c r="G29" s="264" t="inlineStr">
        <is>
          <t>FRI</t>
        </is>
      </c>
      <c r="H29" s="264" t="inlineStr">
        <is>
          <t>SAT</t>
        </is>
      </c>
      <c r="I29" s="264" t="inlineStr">
        <is>
          <t>SUN</t>
        </is>
      </c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8" customHeight="1" s="363">
      <c r="A30" s="65" t="inlineStr">
        <is>
          <t>Cluster A Demand</t>
        </is>
      </c>
      <c r="B30" s="265" t="inlineStr">
        <is>
          <t>All locations</t>
        </is>
      </c>
      <c r="C30" s="266" t="inlineStr">
        <is>
          <t>Medium</t>
        </is>
      </c>
      <c r="D30" s="267" t="inlineStr">
        <is>
          <t>Low</t>
        </is>
      </c>
      <c r="E30" s="266" t="inlineStr">
        <is>
          <t>Medium</t>
        </is>
      </c>
      <c r="F30" s="268" t="inlineStr">
        <is>
          <t>High</t>
        </is>
      </c>
      <c r="G30" s="269" t="inlineStr">
        <is>
          <t>HIGH ★</t>
        </is>
      </c>
      <c r="H30" s="269" t="inlineStr">
        <is>
          <t>HIGH ★</t>
        </is>
      </c>
      <c r="I30" s="269" t="inlineStr">
        <is>
          <t>HIGH ★</t>
        </is>
      </c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21.75" customHeight="1" s="363">
      <c r="A31" s="124" t="inlineStr">
        <is>
          <t>FT-1 (Cluster A)</t>
        </is>
      </c>
      <c r="B31" s="125" t="inlineStr">
        <is>
          <t>Therapist</t>
        </is>
      </c>
      <c r="C31" s="270" t="inlineStr">
        <is>
          <t>Stand-by: Inter</t>
        </is>
      </c>
      <c r="D31" s="271" t="inlineStr">
        <is>
          <t>OFF</t>
        </is>
      </c>
      <c r="E31" s="272" t="inlineStr">
        <is>
          <t>→ Hugos</t>
        </is>
      </c>
      <c r="F31" s="272" t="inlineStr">
        <is>
          <t>→ Inter</t>
        </is>
      </c>
      <c r="G31" s="272" t="inlineStr">
        <is>
          <t>→ Inter</t>
        </is>
      </c>
      <c r="H31" s="272" t="inlineStr">
        <is>
          <t>→ Inter</t>
        </is>
      </c>
      <c r="I31" s="272" t="inlineStr">
        <is>
          <t>→ Inter</t>
        </is>
      </c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21.75" customHeight="1" s="363">
      <c r="A32" s="135" t="inlineStr">
        <is>
          <t>FT-2 (Cluster A)</t>
        </is>
      </c>
      <c r="B32" s="136" t="inlineStr">
        <is>
          <t>Therapist</t>
        </is>
      </c>
      <c r="C32" s="272" t="inlineStr">
        <is>
          <t>→ Hugos</t>
        </is>
      </c>
      <c r="D32" s="270" t="inlineStr">
        <is>
          <t>Stand-by: Inter</t>
        </is>
      </c>
      <c r="E32" s="270" t="inlineStr">
        <is>
          <t>Stand-by: Inter</t>
        </is>
      </c>
      <c r="F32" s="272" t="inlineStr">
        <is>
          <t>→ Hugos</t>
        </is>
      </c>
      <c r="G32" s="272" t="inlineStr">
        <is>
          <t>→ Hugos</t>
        </is>
      </c>
      <c r="H32" s="272" t="inlineStr">
        <is>
          <t>→ Hugos</t>
        </is>
      </c>
      <c r="I32" s="271" t="inlineStr">
        <is>
          <t>OFF</t>
        </is>
      </c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21.75" customHeight="1" s="363">
      <c r="A33" s="124" t="inlineStr">
        <is>
          <t>FT-3 (Cluster A)</t>
        </is>
      </c>
      <c r="B33" s="125" t="inlineStr">
        <is>
          <t>Therapist</t>
        </is>
      </c>
      <c r="C33" s="271" t="inlineStr">
        <is>
          <t>OFF</t>
        </is>
      </c>
      <c r="D33" s="270" t="inlineStr">
        <is>
          <t>Stand-by pool</t>
        </is>
      </c>
      <c r="E33" s="272" t="inlineStr">
        <is>
          <t>→ Hyatt</t>
        </is>
      </c>
      <c r="F33" s="272" t="inlineStr">
        <is>
          <t>→ Hyatt</t>
        </is>
      </c>
      <c r="G33" s="272" t="inlineStr">
        <is>
          <t>→ Hyatt</t>
        </is>
      </c>
      <c r="H33" s="272" t="inlineStr">
        <is>
          <t>→ Odycy</t>
        </is>
      </c>
      <c r="I33" s="272" t="inlineStr">
        <is>
          <t>→ Hyatt</t>
        </is>
      </c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21.75" customHeight="1" s="363">
      <c r="A34" s="135" t="inlineStr">
        <is>
          <t>FR-1 (Cluster A)</t>
        </is>
      </c>
      <c r="B34" s="136" t="inlineStr">
        <is>
          <t>Float Recep.</t>
        </is>
      </c>
      <c r="C34" s="272" t="inlineStr">
        <is>
          <t>→ Odycy</t>
        </is>
      </c>
      <c r="D34" s="272" t="inlineStr">
        <is>
          <t>→ Odycy</t>
        </is>
      </c>
      <c r="E34" s="271" t="inlineStr">
        <is>
          <t>Hyatt/Odycy</t>
        </is>
      </c>
      <c r="F34" s="272" t="inlineStr">
        <is>
          <t>→ Hyatt</t>
        </is>
      </c>
      <c r="G34" s="272" t="inlineStr">
        <is>
          <t>→ Inter</t>
        </is>
      </c>
      <c r="H34" s="272" t="inlineStr">
        <is>
          <t>→ Inter</t>
        </is>
      </c>
      <c r="I34" s="272" t="inlineStr">
        <is>
          <t>→ Odycy</t>
        </is>
      </c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21.75" customHeight="1" s="363">
      <c r="A36" s="262" t="inlineStr">
        <is>
          <t>SECTION 4 — SLIMA NEW HOTEL: MONTH-BY-MONTH RAMP-UP STAFFING</t>
        </is>
      </c>
      <c r="B36" s="398" t="n"/>
      <c r="C36" s="398" t="n"/>
      <c r="D36" s="398" t="n"/>
      <c r="E36" s="398" t="n"/>
      <c r="F36" s="398" t="n"/>
      <c r="G36" s="398" t="n"/>
      <c r="H36" s="398" t="n"/>
      <c r="I36" s="39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21.75" customHeight="1" s="363">
      <c r="A37" s="103" t="inlineStr">
        <is>
          <t>PHASE</t>
        </is>
      </c>
      <c r="B37" s="103" t="inlineStr">
        <is>
          <t>MONTHS</t>
        </is>
      </c>
      <c r="C37" s="103" t="inlineStr">
        <is>
          <t>PROJ. REVENUE</t>
        </is>
      </c>
      <c r="D37" s="103" t="inlineStr">
        <is>
          <t>DEDICATED STAFF</t>
        </is>
      </c>
      <c r="E37" s="103" t="inlineStr">
        <is>
          <t>FLOATING COVERAGE</t>
        </is>
      </c>
      <c r="F37" s="103" t="inlineStr">
        <is>
          <t>FIXED HC COST</t>
        </is>
      </c>
      <c r="G37" s="103" t="inlineStr">
        <is>
          <t>HC %</t>
        </is>
      </c>
      <c r="H37" s="103" t="inlineStr">
        <is>
          <t>TRIGGER TO NEXT PHASE</t>
        </is>
      </c>
      <c r="I37" s="5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27.75" customHeight="1" s="363">
      <c r="A38" s="273" t="inlineStr">
        <is>
          <t>Phase 1 — Launch</t>
        </is>
      </c>
      <c r="B38" s="274" t="inlineStr">
        <is>
          <t>Months 1–2</t>
        </is>
      </c>
      <c r="C38" s="275" t="inlineStr">
        <is>
          <t>€5k–€7k</t>
        </is>
      </c>
      <c r="D38" s="274" t="inlineStr">
        <is>
          <t>1T + 1R</t>
        </is>
      </c>
      <c r="E38" s="274" t="inlineStr">
        <is>
          <t>1–2 floaters from Cluster B</t>
        </is>
      </c>
      <c r="F38" s="275" t="inlineStr">
        <is>
          <t>€2,900</t>
        </is>
      </c>
      <c r="G38" s="275" t="inlineStr">
        <is>
          <t>~40%</t>
        </is>
      </c>
      <c r="H38" s="274" t="inlineStr">
        <is>
          <t>6+ treatments/day for 2 consecutive weeks</t>
        </is>
      </c>
      <c r="I38" s="5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27.75" customHeight="1" s="363">
      <c r="A39" s="154" t="inlineStr">
        <is>
          <t>Phase 2 — Growth</t>
        </is>
      </c>
      <c r="B39" s="156" t="inlineStr">
        <is>
          <t>Month 3</t>
        </is>
      </c>
      <c r="C39" s="155" t="inlineStr">
        <is>
          <t>€8k–€11k</t>
        </is>
      </c>
      <c r="D39" s="156" t="inlineStr">
        <is>
          <t>1T + 1R</t>
        </is>
      </c>
      <c r="E39" s="156" t="inlineStr">
        <is>
          <t>1–2 floaters (consistent pair)</t>
        </is>
      </c>
      <c r="F39" s="155" t="inlineStr">
        <is>
          <t>€2,900</t>
        </is>
      </c>
      <c r="G39" s="155" t="inlineStr">
        <is>
          <t>~30%</t>
        </is>
      </c>
      <c r="H39" s="156" t="inlineStr">
        <is>
          <t>Sustained €10k+/mo for 4 weeks</t>
        </is>
      </c>
      <c r="I39" s="5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27.75" customHeight="1" s="363">
      <c r="A40" s="148" t="inlineStr">
        <is>
          <t>Phase 3 — Stabilise</t>
        </is>
      </c>
      <c r="B40" s="150" t="inlineStr">
        <is>
          <t>Month 4+</t>
        </is>
      </c>
      <c r="C40" s="149" t="inlineStr">
        <is>
          <t>€12k–€15k</t>
        </is>
      </c>
      <c r="D40" s="150" t="inlineStr">
        <is>
          <t>2T + 1R</t>
        </is>
      </c>
      <c r="E40" s="150" t="inlineStr">
        <is>
          <t>On-demand from Cluster B</t>
        </is>
      </c>
      <c r="F40" s="149" t="inlineStr">
        <is>
          <t>€4,400</t>
        </is>
      </c>
      <c r="G40" s="149" t="inlineStr">
        <is>
          <t>~30%</t>
        </is>
      </c>
      <c r="H40" s="150" t="inlineStr">
        <is>
          <t>€15k sustained 2 months → full cluster member</t>
        </is>
      </c>
      <c r="I40" s="5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27.75" customHeight="1" s="363">
      <c r="A41" s="276" t="inlineStr">
        <is>
          <t>Phase 4 — Full ops</t>
        </is>
      </c>
      <c r="B41" s="277" t="inlineStr">
        <is>
          <t>Month 6+</t>
        </is>
      </c>
      <c r="C41" s="278" t="inlineStr">
        <is>
          <t>€15k+</t>
        </is>
      </c>
      <c r="D41" s="277" t="inlineStr">
        <is>
          <t>2T + 1R + shared S</t>
        </is>
      </c>
      <c r="E41" s="277" t="inlineStr">
        <is>
          <t>As needed</t>
        </is>
      </c>
      <c r="F41" s="278" t="inlineStr">
        <is>
          <t>€5,967</t>
        </is>
      </c>
      <c r="G41" s="278" t="inlineStr">
        <is>
          <t>~35–40%</t>
        </is>
      </c>
      <c r="H41" s="277" t="inlineStr">
        <is>
          <t>Standard Tier 3 staffing model applies</t>
        </is>
      </c>
      <c r="I41" s="5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363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21.75" customHeight="1" s="363">
      <c r="A43" s="262" t="inlineStr">
        <is>
          <t>SECTION 5 — FLOATING STAFF DEPLOYMENT RULES</t>
        </is>
      </c>
      <c r="B43" s="398" t="n"/>
      <c r="C43" s="398" t="n"/>
      <c r="D43" s="398" t="n"/>
      <c r="E43" s="398" t="n"/>
      <c r="F43" s="398" t="n"/>
      <c r="G43" s="398" t="n"/>
      <c r="H43" s="398" t="n"/>
      <c r="I43" s="39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21.75" customHeight="1" s="363">
      <c r="A44" s="263" t="inlineStr">
        <is>
          <t>RULE</t>
        </is>
      </c>
      <c r="B44" s="263" t="inlineStr">
        <is>
          <t>NAME</t>
        </is>
      </c>
      <c r="C44" s="263" t="inlineStr">
        <is>
          <t>DESCRIPTION</t>
        </is>
      </c>
      <c r="D44" s="398" t="n"/>
      <c r="E44" s="398" t="n"/>
      <c r="F44" s="398" t="n"/>
      <c r="G44" s="398" t="n"/>
      <c r="H44" s="398" t="n"/>
      <c r="I44" s="399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36" customHeight="1" s="363">
      <c r="A45" s="280" t="inlineStr">
        <is>
          <t>Rule 1</t>
        </is>
      </c>
      <c r="B45" s="124" t="inlineStr">
        <is>
          <t>Deployment Trigger</t>
        </is>
      </c>
      <c r="C45" s="429" t="inlineStr">
        <is>
          <t>Deploy a floating therapist when confirmed bookings in the next 4-hour window exceed 80% of dedicated therapist capacity at that location.</t>
        </is>
      </c>
      <c r="D45" s="398" t="n"/>
      <c r="E45" s="398" t="n"/>
      <c r="F45" s="398" t="n"/>
      <c r="G45" s="398" t="n"/>
      <c r="H45" s="398" t="n"/>
      <c r="I45" s="399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36" customHeight="1" s="363">
      <c r="A46" s="282" t="inlineStr">
        <is>
          <t>Rule 2</t>
        </is>
      </c>
      <c r="B46" s="135" t="inlineStr">
        <is>
          <t>Minimum Threshold</t>
        </is>
      </c>
      <c r="C46" s="430" t="inlineStr">
        <is>
          <t>Cluster A: 1 confirmed booking + 80% utilisation → deploy within 10 minutes. Cluster B: 2 confirmed bookings + 80% utilisation → deploy within 20 minutes.</t>
        </is>
      </c>
      <c r="D46" s="398" t="n"/>
      <c r="E46" s="398" t="n"/>
      <c r="F46" s="398" t="n"/>
      <c r="G46" s="398" t="n"/>
      <c r="H46" s="398" t="n"/>
      <c r="I46" s="399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36" customHeight="1" s="363">
      <c r="A47" s="280" t="inlineStr">
        <is>
          <t>Rule 3</t>
        </is>
      </c>
      <c r="B47" s="124" t="inlineStr">
        <is>
          <t>Surge Protocol</t>
        </is>
      </c>
      <c r="C47" s="429" t="inlineStr">
        <is>
          <t>Floating pool deployed FIRST. A dedicated therapist from a quiet sister location may cross-deploy only if the floating pool is fully committed. Cross-deployment bonus: €10/session.</t>
        </is>
      </c>
      <c r="D47" s="398" t="n"/>
      <c r="E47" s="398" t="n"/>
      <c r="F47" s="398" t="n"/>
      <c r="G47" s="398" t="n"/>
      <c r="H47" s="398" t="n"/>
      <c r="I47" s="39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36" customHeight="1" s="363">
      <c r="A48" s="282" t="inlineStr">
        <is>
          <t>Rule 4</t>
        </is>
      </c>
      <c r="B48" s="135" t="inlineStr">
        <is>
          <t>Shift Limits</t>
        </is>
      </c>
      <c r="C48" s="430" t="inlineStr">
        <is>
          <t>Max 6 treatment-hours per floater per shift. Min 30-min rest between locations. Max 2 different locations per floater per day.</t>
        </is>
      </c>
      <c r="D48" s="398" t="n"/>
      <c r="E48" s="398" t="n"/>
      <c r="F48" s="398" t="n"/>
      <c r="G48" s="398" t="n"/>
      <c r="H48" s="398" t="n"/>
      <c r="I48" s="39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36" customHeight="1" s="363">
      <c r="A49" s="280" t="inlineStr">
        <is>
          <t>Rule 5</t>
        </is>
      </c>
      <c r="B49" s="124" t="inlineStr">
        <is>
          <t>Priority Hierarchy</t>
        </is>
      </c>
      <c r="C49" s="429" t="inlineStr">
        <is>
          <t>1st: Highest-revenue location. 2nd: Earliest booking timestamp. 3rd: RM discretion.</t>
        </is>
      </c>
      <c r="D49" s="398" t="n"/>
      <c r="E49" s="398" t="n"/>
      <c r="F49" s="398" t="n"/>
      <c r="G49" s="398" t="n"/>
      <c r="H49" s="398" t="n"/>
      <c r="I49" s="39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36" customHeight="1" s="363">
      <c r="A50" s="282" t="inlineStr">
        <is>
          <t>Rule 6</t>
        </is>
      </c>
      <c r="B50" s="135" t="inlineStr">
        <is>
          <t>RM Schedule</t>
        </is>
      </c>
      <c r="C50" s="430" t="inlineStr">
        <is>
          <t>RM1 issues next-day floating assignments at 18:00 daily based on booking report. Same-day deployment is the fallback — pre-assignment is the standard.</t>
        </is>
      </c>
      <c r="D50" s="398" t="n"/>
      <c r="E50" s="398" t="n"/>
      <c r="F50" s="398" t="n"/>
      <c r="G50" s="398" t="n"/>
      <c r="H50" s="398" t="n"/>
      <c r="I50" s="399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363">
      <c r="A51" s="57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36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36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36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36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36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36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36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</sheetData>
  <mergeCells count="14">
    <mergeCell ref="C50:I50"/>
    <mergeCell ref="C45:I45"/>
    <mergeCell ref="C44:I44"/>
    <mergeCell ref="A43:I43"/>
    <mergeCell ref="A2:I2"/>
    <mergeCell ref="C48:I48"/>
    <mergeCell ref="A28:I28"/>
    <mergeCell ref="A36:I36"/>
    <mergeCell ref="C49:I49"/>
    <mergeCell ref="A1:I1"/>
    <mergeCell ref="C46:I46"/>
    <mergeCell ref="C47:I47"/>
    <mergeCell ref="A4:I4"/>
    <mergeCell ref="A16:I16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INTERCONTINENTAL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€593,700  |  Monthly avg: €49,475  |  Receptionists: 2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39580</v>
      </c>
      <c r="C6" s="54" t="n">
        <v>15832</v>
      </c>
      <c r="D6" s="54" t="n">
        <v>11572</v>
      </c>
      <c r="E6" s="29" t="n">
        <v>5</v>
      </c>
      <c r="F6" s="54" t="n">
        <v>3130</v>
      </c>
      <c r="G6" s="29" t="n">
        <v>2</v>
      </c>
      <c r="H6" s="54" t="n">
        <v>1130</v>
      </c>
      <c r="I6" s="54" t="n">
        <v>0</v>
      </c>
      <c r="J6" s="54" t="n">
        <v>15832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42054</v>
      </c>
      <c r="C7" s="289" t="n">
        <v>16822</v>
      </c>
      <c r="D7" s="289" t="n">
        <v>12550</v>
      </c>
      <c r="E7" s="290" t="n">
        <v>6</v>
      </c>
      <c r="F7" s="289" t="n">
        <v>3130</v>
      </c>
      <c r="G7" s="290" t="n">
        <v>2</v>
      </c>
      <c r="H7" s="289" t="n">
        <v>1142</v>
      </c>
      <c r="I7" s="289" t="n">
        <v>0</v>
      </c>
      <c r="J7" s="289" t="n">
        <v>16822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44528</v>
      </c>
      <c r="C8" s="54" t="n">
        <v>17811</v>
      </c>
      <c r="D8" s="54" t="n">
        <v>13526</v>
      </c>
      <c r="E8" s="29" t="n">
        <v>6</v>
      </c>
      <c r="F8" s="54" t="n">
        <v>3130</v>
      </c>
      <c r="G8" s="29" t="n">
        <v>2</v>
      </c>
      <c r="H8" s="54" t="n">
        <v>1155</v>
      </c>
      <c r="I8" s="54" t="n">
        <v>0</v>
      </c>
      <c r="J8" s="54" t="n">
        <v>17811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47001</v>
      </c>
      <c r="C9" s="289" t="n">
        <v>18800</v>
      </c>
      <c r="D9" s="289" t="n">
        <v>14503</v>
      </c>
      <c r="E9" s="290" t="n">
        <v>7</v>
      </c>
      <c r="F9" s="289" t="n">
        <v>3130</v>
      </c>
      <c r="G9" s="290" t="n">
        <v>2</v>
      </c>
      <c r="H9" s="289" t="n">
        <v>1167</v>
      </c>
      <c r="I9" s="289" t="n">
        <v>0</v>
      </c>
      <c r="J9" s="289" t="n">
        <v>18800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49475</v>
      </c>
      <c r="C10" s="54" t="n">
        <v>19790</v>
      </c>
      <c r="D10" s="54" t="n">
        <v>15481</v>
      </c>
      <c r="E10" s="29" t="n">
        <v>7</v>
      </c>
      <c r="F10" s="54" t="n">
        <v>3130</v>
      </c>
      <c r="G10" s="29" t="n">
        <v>2</v>
      </c>
      <c r="H10" s="54" t="n">
        <v>1179</v>
      </c>
      <c r="I10" s="54" t="n">
        <v>0</v>
      </c>
      <c r="J10" s="54" t="n">
        <v>19790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54422</v>
      </c>
      <c r="C11" s="289" t="n">
        <v>21769</v>
      </c>
      <c r="D11" s="289" t="n">
        <v>17435</v>
      </c>
      <c r="E11" s="290" t="n">
        <v>8</v>
      </c>
      <c r="F11" s="289" t="n">
        <v>3130</v>
      </c>
      <c r="G11" s="290" t="n">
        <v>2</v>
      </c>
      <c r="H11" s="289" t="n">
        <v>1204</v>
      </c>
      <c r="I11" s="289" t="n">
        <v>0</v>
      </c>
      <c r="J11" s="289" t="n">
        <v>21769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59370</v>
      </c>
      <c r="C12" s="54" t="n">
        <v>23748</v>
      </c>
      <c r="D12" s="54" t="n">
        <v>19389</v>
      </c>
      <c r="E12" s="29" t="n">
        <v>9</v>
      </c>
      <c r="F12" s="54" t="n">
        <v>3130</v>
      </c>
      <c r="G12" s="29" t="n">
        <v>2</v>
      </c>
      <c r="H12" s="54" t="n">
        <v>1229</v>
      </c>
      <c r="I12" s="54" t="n">
        <v>0</v>
      </c>
      <c r="J12" s="54" t="n">
        <v>23748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61844</v>
      </c>
      <c r="C13" s="289" t="n">
        <v>24738</v>
      </c>
      <c r="D13" s="289" t="n">
        <v>20367</v>
      </c>
      <c r="E13" s="290" t="n">
        <v>10</v>
      </c>
      <c r="F13" s="289" t="n">
        <v>3130</v>
      </c>
      <c r="G13" s="290" t="n">
        <v>2</v>
      </c>
      <c r="H13" s="289" t="n">
        <v>1241</v>
      </c>
      <c r="I13" s="289" t="n">
        <v>0</v>
      </c>
      <c r="J13" s="289" t="n">
        <v>24738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54422</v>
      </c>
      <c r="C14" s="54" t="n">
        <v>21769</v>
      </c>
      <c r="D14" s="54" t="n">
        <v>17435</v>
      </c>
      <c r="E14" s="29" t="n">
        <v>8</v>
      </c>
      <c r="F14" s="54" t="n">
        <v>3130</v>
      </c>
      <c r="G14" s="29" t="n">
        <v>2</v>
      </c>
      <c r="H14" s="54" t="n">
        <v>1204</v>
      </c>
      <c r="I14" s="54" t="n">
        <v>0</v>
      </c>
      <c r="J14" s="54" t="n">
        <v>21769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49475</v>
      </c>
      <c r="C15" s="289" t="n">
        <v>19790</v>
      </c>
      <c r="D15" s="289" t="n">
        <v>15481</v>
      </c>
      <c r="E15" s="290" t="n">
        <v>7</v>
      </c>
      <c r="F15" s="289" t="n">
        <v>3130</v>
      </c>
      <c r="G15" s="290" t="n">
        <v>2</v>
      </c>
      <c r="H15" s="289" t="n">
        <v>1179</v>
      </c>
      <c r="I15" s="289" t="n">
        <v>0</v>
      </c>
      <c r="J15" s="289" t="n">
        <v>19790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44528</v>
      </c>
      <c r="C16" s="54" t="n">
        <v>17811</v>
      </c>
      <c r="D16" s="54" t="n">
        <v>13526</v>
      </c>
      <c r="E16" s="29" t="n">
        <v>6</v>
      </c>
      <c r="F16" s="54" t="n">
        <v>3130</v>
      </c>
      <c r="G16" s="29" t="n">
        <v>2</v>
      </c>
      <c r="H16" s="54" t="n">
        <v>1155</v>
      </c>
      <c r="I16" s="54" t="n">
        <v>0</v>
      </c>
      <c r="J16" s="54" t="n">
        <v>17811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47001</v>
      </c>
      <c r="C17" s="289" t="n">
        <v>18800</v>
      </c>
      <c r="D17" s="289" t="n">
        <v>14503</v>
      </c>
      <c r="E17" s="290" t="n">
        <v>7</v>
      </c>
      <c r="F17" s="289" t="n">
        <v>3130</v>
      </c>
      <c r="G17" s="290" t="n">
        <v>2</v>
      </c>
      <c r="H17" s="289" t="n">
        <v>1167</v>
      </c>
      <c r="I17" s="289" t="n">
        <v>0</v>
      </c>
      <c r="J17" s="289" t="n">
        <v>18800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593700</v>
      </c>
      <c r="C18" s="292" t="n">
        <v>237480</v>
      </c>
      <c r="D18" s="292" t="n">
        <v>185768</v>
      </c>
      <c r="E18" s="293" t="n"/>
      <c r="F18" s="292" t="n">
        <v>37560</v>
      </c>
      <c r="G18" s="293" t="n">
        <v>2</v>
      </c>
      <c r="H18" s="292" t="n">
        <v>14152</v>
      </c>
      <c r="I18" s="292" t="n">
        <v>0</v>
      </c>
      <c r="J18" s="292" t="n">
        <v>237480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Isabelle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27" t="inlineStr">
        <is>
          <t>A</t>
        </is>
      </c>
      <c r="G22" s="127" t="inlineStr">
        <is>
          <t>A</t>
        </is>
      </c>
      <c r="H22" s="127" t="inlineStr">
        <is>
          <t>A</t>
        </is>
      </c>
      <c r="I22" s="127" t="inlineStr">
        <is>
          <t>A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Margaux</t>
        </is>
      </c>
      <c r="B23" s="300" t="inlineStr">
        <is>
          <t>Therapist</t>
        </is>
      </c>
      <c r="C23" s="126" t="inlineStr">
        <is>
          <t>OFF</t>
        </is>
      </c>
      <c r="D23" s="126" t="inlineStr">
        <is>
          <t>OFF</t>
        </is>
      </c>
      <c r="E23" s="127" t="inlineStr">
        <is>
          <t>A</t>
        </is>
      </c>
      <c r="F23" s="127" t="inlineStr">
        <is>
          <t>A</t>
        </is>
      </c>
      <c r="G23" s="127" t="inlineStr">
        <is>
          <t>A</t>
        </is>
      </c>
      <c r="H23" s="127" t="inlineStr">
        <is>
          <t>A</t>
        </is>
      </c>
      <c r="I23" s="137" t="inlineStr">
        <is>
          <t>B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T3 — Chiara</t>
        </is>
      </c>
      <c r="B24" s="298" t="inlineStr">
        <is>
          <t>Therapist</t>
        </is>
      </c>
      <c r="C24" s="126" t="inlineStr">
        <is>
          <t>OFF</t>
        </is>
      </c>
      <c r="D24" s="126" t="inlineStr">
        <is>
          <t>OFF</t>
        </is>
      </c>
      <c r="E24" s="137" t="inlineStr">
        <is>
          <t>B</t>
        </is>
      </c>
      <c r="F24" s="137" t="inlineStr">
        <is>
          <t>B</t>
        </is>
      </c>
      <c r="G24" s="137" t="inlineStr">
        <is>
          <t>B</t>
        </is>
      </c>
      <c r="H24" s="137" t="inlineStr">
        <is>
          <t>B</t>
        </is>
      </c>
      <c r="I24" s="127" t="inlineStr">
        <is>
          <t>A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162" t="inlineStr">
        <is>
          <t>T4 — Eleni</t>
        </is>
      </c>
      <c r="B25" s="300" t="inlineStr">
        <is>
          <t>Therapist</t>
        </is>
      </c>
      <c r="C25" s="127" t="inlineStr">
        <is>
          <t>A</t>
        </is>
      </c>
      <c r="D25" s="126" t="inlineStr">
        <is>
          <t>OFF</t>
        </is>
      </c>
      <c r="E25" s="126" t="inlineStr">
        <is>
          <t>OFF</t>
        </is>
      </c>
      <c r="F25" s="127" t="inlineStr">
        <is>
          <t>A</t>
        </is>
      </c>
      <c r="G25" s="127" t="inlineStr">
        <is>
          <t>A</t>
        </is>
      </c>
      <c r="H25" s="127" t="inlineStr">
        <is>
          <t>A</t>
        </is>
      </c>
      <c r="I25" s="127" t="inlineStr">
        <is>
          <t>A</t>
        </is>
      </c>
      <c r="J25" s="299" t="n">
        <v>5</v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297" t="inlineStr">
        <is>
          <t>T5 — Priya</t>
        </is>
      </c>
      <c r="B26" s="298" t="inlineStr">
        <is>
          <t>Therapist</t>
        </is>
      </c>
      <c r="C26" s="127" t="inlineStr">
        <is>
          <t>A</t>
        </is>
      </c>
      <c r="D26" s="126" t="inlineStr">
        <is>
          <t>OFF</t>
        </is>
      </c>
      <c r="E26" s="126" t="inlineStr">
        <is>
          <t>OFF</t>
        </is>
      </c>
      <c r="F26" s="127" t="inlineStr">
        <is>
          <t>A</t>
        </is>
      </c>
      <c r="G26" s="127" t="inlineStr">
        <is>
          <t>A</t>
        </is>
      </c>
      <c r="H26" s="127" t="inlineStr">
        <is>
          <t>A</t>
        </is>
      </c>
      <c r="I26" s="137" t="inlineStr">
        <is>
          <t>B</t>
        </is>
      </c>
      <c r="J26" s="299" t="n">
        <v>5</v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 s="363">
      <c r="A27" s="162" t="inlineStr">
        <is>
          <t>T6 — Sofia</t>
        </is>
      </c>
      <c r="B27" s="300" t="inlineStr">
        <is>
          <t>Therapist</t>
        </is>
      </c>
      <c r="C27" s="137" t="inlineStr">
        <is>
          <t>B</t>
        </is>
      </c>
      <c r="D27" s="126" t="inlineStr">
        <is>
          <t>OFF</t>
        </is>
      </c>
      <c r="E27" s="126" t="inlineStr">
        <is>
          <t>OFF</t>
        </is>
      </c>
      <c r="F27" s="137" t="inlineStr">
        <is>
          <t>B</t>
        </is>
      </c>
      <c r="G27" s="137" t="inlineStr">
        <is>
          <t>B</t>
        </is>
      </c>
      <c r="H27" s="137" t="inlineStr">
        <is>
          <t>B</t>
        </is>
      </c>
      <c r="I27" s="127" t="inlineStr">
        <is>
          <t>A</t>
        </is>
      </c>
      <c r="J27" s="299" t="n">
        <v>5</v>
      </c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9.5" customHeight="1" s="363">
      <c r="A28" s="297" t="inlineStr">
        <is>
          <t>T7 — Anya</t>
        </is>
      </c>
      <c r="B28" s="298" t="inlineStr">
        <is>
          <t>Therapist</t>
        </is>
      </c>
      <c r="C28" s="127" t="inlineStr">
        <is>
          <t>A</t>
        </is>
      </c>
      <c r="D28" s="127" t="inlineStr">
        <is>
          <t>A</t>
        </is>
      </c>
      <c r="E28" s="126" t="inlineStr">
        <is>
          <t>OFF</t>
        </is>
      </c>
      <c r="F28" s="126" t="inlineStr">
        <is>
          <t>OFF</t>
        </is>
      </c>
      <c r="G28" s="127" t="inlineStr">
        <is>
          <t>A</t>
        </is>
      </c>
      <c r="H28" s="127" t="inlineStr">
        <is>
          <t>A</t>
        </is>
      </c>
      <c r="I28" s="127" t="inlineStr">
        <is>
          <t>A</t>
        </is>
      </c>
      <c r="J28" s="299" t="n">
        <v>5</v>
      </c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9.5" customHeight="1" s="363">
      <c r="A29" s="162" t="inlineStr">
        <is>
          <t>T8 — Leila</t>
        </is>
      </c>
      <c r="B29" s="300" t="inlineStr">
        <is>
          <t>Therapist</t>
        </is>
      </c>
      <c r="C29" s="127" t="inlineStr">
        <is>
          <t>A</t>
        </is>
      </c>
      <c r="D29" s="127" t="inlineStr">
        <is>
          <t>A</t>
        </is>
      </c>
      <c r="E29" s="126" t="inlineStr">
        <is>
          <t>OFF</t>
        </is>
      </c>
      <c r="F29" s="126" t="inlineStr">
        <is>
          <t>OFF</t>
        </is>
      </c>
      <c r="G29" s="127" t="inlineStr">
        <is>
          <t>A</t>
        </is>
      </c>
      <c r="H29" s="127" t="inlineStr">
        <is>
          <t>A</t>
        </is>
      </c>
      <c r="I29" s="137" t="inlineStr">
        <is>
          <t>B</t>
        </is>
      </c>
      <c r="J29" s="299" t="n">
        <v>5</v>
      </c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9.5" customHeight="1" s="363">
      <c r="A30" s="297" t="inlineStr">
        <is>
          <t>T9 — Nadia</t>
        </is>
      </c>
      <c r="B30" s="298" t="inlineStr">
        <is>
          <t>Therapist</t>
        </is>
      </c>
      <c r="C30" s="137" t="inlineStr">
        <is>
          <t>B</t>
        </is>
      </c>
      <c r="D30" s="137" t="inlineStr">
        <is>
          <t>B</t>
        </is>
      </c>
      <c r="E30" s="126" t="inlineStr">
        <is>
          <t>OFF</t>
        </is>
      </c>
      <c r="F30" s="126" t="inlineStr">
        <is>
          <t>OFF</t>
        </is>
      </c>
      <c r="G30" s="137" t="inlineStr">
        <is>
          <t>B</t>
        </is>
      </c>
      <c r="H30" s="137" t="inlineStr">
        <is>
          <t>B</t>
        </is>
      </c>
      <c r="I30" s="127" t="inlineStr">
        <is>
          <t>A</t>
        </is>
      </c>
      <c r="J30" s="299" t="n">
        <v>5</v>
      </c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9.5" customHeight="1" s="363">
      <c r="A31" s="162" t="inlineStr">
        <is>
          <t>R1 — Camille</t>
        </is>
      </c>
      <c r="B31" s="300" t="inlineStr">
        <is>
          <t>Receptionist</t>
        </is>
      </c>
      <c r="C31" s="126" t="inlineStr">
        <is>
          <t>OFF</t>
        </is>
      </c>
      <c r="D31" s="126" t="inlineStr">
        <is>
          <t>OFF</t>
        </is>
      </c>
      <c r="E31" s="127" t="inlineStr">
        <is>
          <t>A</t>
        </is>
      </c>
      <c r="F31" s="127" t="inlineStr">
        <is>
          <t>A</t>
        </is>
      </c>
      <c r="G31" s="127" t="inlineStr">
        <is>
          <t>A</t>
        </is>
      </c>
      <c r="H31" s="127" t="inlineStr">
        <is>
          <t>A</t>
        </is>
      </c>
      <c r="I31" s="127" t="inlineStr">
        <is>
          <t>A</t>
        </is>
      </c>
      <c r="J31" s="299" t="n">
        <v>5</v>
      </c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9.5" customHeight="1" s="363">
      <c r="A32" s="297" t="inlineStr">
        <is>
          <t>R2 — Yasmin</t>
        </is>
      </c>
      <c r="B32" s="298" t="inlineStr">
        <is>
          <t>Receptionist</t>
        </is>
      </c>
      <c r="C32" s="127" t="inlineStr">
        <is>
          <t>A</t>
        </is>
      </c>
      <c r="D32" s="127" t="inlineStr">
        <is>
          <t>A</t>
        </is>
      </c>
      <c r="E32" s="126" t="inlineStr">
        <is>
          <t>OFF</t>
        </is>
      </c>
      <c r="F32" s="126" t="inlineStr">
        <is>
          <t>OFF</t>
        </is>
      </c>
      <c r="G32" s="127" t="inlineStr">
        <is>
          <t>A</t>
        </is>
      </c>
      <c r="H32" s="127" t="inlineStr">
        <is>
          <t>A</t>
        </is>
      </c>
      <c r="I32" s="127" t="inlineStr">
        <is>
          <t>A</t>
        </is>
      </c>
      <c r="J32" s="299" t="n">
        <v>5</v>
      </c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9.5" customHeight="1" s="363">
      <c r="A33" s="301" t="n"/>
      <c r="B33" s="301" t="n"/>
      <c r="C33" s="301" t="n"/>
      <c r="D33" s="301" t="n"/>
      <c r="E33" s="301" t="n"/>
      <c r="F33" s="301" t="n"/>
      <c r="G33" s="301" t="n"/>
      <c r="H33" s="301" t="n"/>
      <c r="I33" s="301" t="n"/>
      <c r="J33" s="301" t="n"/>
      <c r="K33" s="301" t="n"/>
      <c r="L33" s="301" t="n"/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3.5" customHeight="1" s="363">
      <c r="A34" s="301" t="n"/>
      <c r="B34" s="301" t="n"/>
      <c r="C34" s="301" t="n"/>
      <c r="D34" s="301" t="n"/>
      <c r="E34" s="301" t="n"/>
      <c r="F34" s="301" t="n"/>
      <c r="G34" s="301" t="n"/>
      <c r="H34" s="301" t="n"/>
      <c r="I34" s="301" t="n"/>
      <c r="J34" s="301" t="n"/>
      <c r="K34" s="301" t="n"/>
      <c r="L34" s="301" t="n"/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301" t="n"/>
      <c r="B35" s="301" t="n"/>
      <c r="C35" s="301" t="n"/>
      <c r="D35" s="301" t="n"/>
      <c r="E35" s="301" t="n"/>
      <c r="F35" s="301" t="n"/>
      <c r="G35" s="301" t="n"/>
      <c r="H35" s="301" t="n"/>
      <c r="I35" s="301" t="n"/>
      <c r="J35" s="301" t="n"/>
      <c r="K35" s="301" t="n"/>
      <c r="L35" s="301" t="n"/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21.75" customHeight="1" s="363">
      <c r="A36" s="435" t="inlineStr">
        <is>
          <t>DYNAMIC STAFFING MODEL  —  Demand-Adjusted Headcount  |  Core = Permanent (year-round)  |  Seasonal = Fixed-term (Apr–Oct)  |  Buffer: 20% above demand floor</t>
        </is>
      </c>
      <c r="B36" s="398" t="n"/>
      <c r="C36" s="398" t="n"/>
      <c r="D36" s="398" t="n"/>
      <c r="E36" s="398" t="n"/>
      <c r="F36" s="398" t="n"/>
      <c r="G36" s="398" t="n"/>
      <c r="H36" s="398" t="n"/>
      <c r="I36" s="398" t="n"/>
      <c r="J36" s="398" t="n"/>
      <c r="K36" s="398" t="n"/>
      <c r="L36" s="399" t="n"/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30" customHeight="1" s="363">
      <c r="A37" s="17" t="inlineStr">
        <is>
          <t>Month</t>
        </is>
      </c>
      <c r="B37" s="17" t="inlineStr">
        <is>
          <t>Revenue (€)</t>
        </is>
      </c>
      <c r="C37" s="17" t="inlineStr">
        <is>
          <t>35% Budget (€)</t>
        </is>
      </c>
      <c r="D37" s="17" t="inlineStr">
        <is>
          <t>Optimal T</t>
        </is>
      </c>
      <c r="E37" s="17" t="inlineStr">
        <is>
          <t>Core T</t>
        </is>
      </c>
      <c r="F37" s="17" t="inlineStr">
        <is>
          <t>Seasonal T</t>
        </is>
      </c>
      <c r="G37" s="17" t="inlineStr">
        <is>
          <t>Avg Tx /
Day / T</t>
        </is>
      </c>
      <c r="H37" s="17" t="inlineStr">
        <is>
          <t>Dynamic HC (€)</t>
        </is>
      </c>
      <c r="I37" s="17" t="inlineStr">
        <is>
          <t>Saving vs
Fixed (€)</t>
        </is>
      </c>
      <c r="J37" s="17" t="inlineStr">
        <is>
          <t>Status</t>
        </is>
      </c>
      <c r="K37" s="17" t="inlineStr">
        <is>
          <t># Core</t>
        </is>
      </c>
      <c r="L37" s="17" t="inlineStr">
        <is>
          <t># Seas</t>
        </is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91" t="inlineStr">
        <is>
          <t>Jan</t>
        </is>
      </c>
      <c r="B38" s="303" t="n">
        <v>39580</v>
      </c>
      <c r="C38" s="303" t="n">
        <v>13853</v>
      </c>
      <c r="D38" s="304" t="n">
        <v>5</v>
      </c>
      <c r="E38" s="304" t="n">
        <v>5</v>
      </c>
      <c r="F38" s="305" t="n">
        <v>0</v>
      </c>
      <c r="G38" s="306" t="n">
        <v>4.1</v>
      </c>
      <c r="H38" s="303" t="n">
        <v>14645</v>
      </c>
      <c r="I38" s="307" t="n">
        <v>6708</v>
      </c>
      <c r="J38" s="92" t="inlineStr">
        <is>
          <t>● ON CORE</t>
        </is>
      </c>
      <c r="K38" s="305" t="n">
        <v>5</v>
      </c>
      <c r="L38" s="305" t="n">
        <v>0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91" t="inlineStr">
        <is>
          <t>Feb</t>
        </is>
      </c>
      <c r="B39" s="303" t="n">
        <v>42054</v>
      </c>
      <c r="C39" s="303" t="n">
        <v>14719</v>
      </c>
      <c r="D39" s="304" t="n">
        <v>6</v>
      </c>
      <c r="E39" s="304" t="n">
        <v>5</v>
      </c>
      <c r="F39" s="308" t="n">
        <v>1</v>
      </c>
      <c r="G39" s="309" t="n">
        <v>3.6</v>
      </c>
      <c r="H39" s="303" t="n">
        <v>16459</v>
      </c>
      <c r="I39" s="307" t="n">
        <v>5031</v>
      </c>
      <c r="J39" s="92" t="inlineStr">
        <is>
          <t>● ON CORE</t>
        </is>
      </c>
      <c r="K39" s="305" t="n">
        <v>5</v>
      </c>
      <c r="L39" s="107" t="n">
        <v>1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91" t="inlineStr">
        <is>
          <t>Mar</t>
        </is>
      </c>
      <c r="B40" s="303" t="n">
        <v>44528</v>
      </c>
      <c r="C40" s="303" t="n">
        <v>15585</v>
      </c>
      <c r="D40" s="304" t="n">
        <v>6</v>
      </c>
      <c r="E40" s="304" t="n">
        <v>5</v>
      </c>
      <c r="F40" s="308" t="n">
        <v>1</v>
      </c>
      <c r="G40" s="309" t="n">
        <v>3.8</v>
      </c>
      <c r="H40" s="303" t="n">
        <v>16598</v>
      </c>
      <c r="I40" s="307" t="n">
        <v>5031</v>
      </c>
      <c r="J40" s="92" t="inlineStr">
        <is>
          <t>● ON CORE</t>
        </is>
      </c>
      <c r="K40" s="305" t="n">
        <v>5</v>
      </c>
      <c r="L40" s="107" t="n">
        <v>1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310" t="inlineStr">
        <is>
          <t>Apr</t>
        </is>
      </c>
      <c r="B41" s="311" t="n">
        <v>47001</v>
      </c>
      <c r="C41" s="311" t="n">
        <v>16450</v>
      </c>
      <c r="D41" s="312" t="n">
        <v>6</v>
      </c>
      <c r="E41" s="304" t="n">
        <v>5</v>
      </c>
      <c r="F41" s="308" t="n">
        <v>1</v>
      </c>
      <c r="G41" s="306" t="n">
        <v>4</v>
      </c>
      <c r="H41" s="311" t="n">
        <v>16736</v>
      </c>
      <c r="I41" s="307" t="n">
        <v>5031</v>
      </c>
      <c r="J41" s="93" t="inlineStr">
        <is>
          <t>▲ SEASONAL ACTIVE</t>
        </is>
      </c>
      <c r="K41" s="305" t="n">
        <v>5</v>
      </c>
      <c r="L41" s="107" t="n">
        <v>1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310" t="inlineStr">
        <is>
          <t>May</t>
        </is>
      </c>
      <c r="B42" s="311" t="n">
        <v>49475</v>
      </c>
      <c r="C42" s="311" t="n">
        <v>17316</v>
      </c>
      <c r="D42" s="312" t="n">
        <v>6</v>
      </c>
      <c r="E42" s="304" t="n">
        <v>5</v>
      </c>
      <c r="F42" s="308" t="n">
        <v>1</v>
      </c>
      <c r="G42" s="306" t="n">
        <v>4.2</v>
      </c>
      <c r="H42" s="311" t="n">
        <v>16873</v>
      </c>
      <c r="I42" s="307" t="n">
        <v>5031</v>
      </c>
      <c r="J42" s="93" t="inlineStr">
        <is>
          <t>▲ SEASONAL ACTIVE</t>
        </is>
      </c>
      <c r="K42" s="305" t="n">
        <v>5</v>
      </c>
      <c r="L42" s="107" t="n">
        <v>1</v>
      </c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18" customHeight="1" s="363">
      <c r="A43" s="310" t="inlineStr">
        <is>
          <t>Jun</t>
        </is>
      </c>
      <c r="B43" s="311" t="n">
        <v>54422</v>
      </c>
      <c r="C43" s="311" t="n">
        <v>19048</v>
      </c>
      <c r="D43" s="312" t="n">
        <v>7</v>
      </c>
      <c r="E43" s="304" t="n">
        <v>5</v>
      </c>
      <c r="F43" s="308" t="n">
        <v>2</v>
      </c>
      <c r="G43" s="306" t="n">
        <v>4</v>
      </c>
      <c r="H43" s="311" t="n">
        <v>18826</v>
      </c>
      <c r="I43" s="307" t="n">
        <v>3354</v>
      </c>
      <c r="J43" s="93" t="inlineStr">
        <is>
          <t>▲ SEASONAL ACTIVE</t>
        </is>
      </c>
      <c r="K43" s="305" t="n">
        <v>5</v>
      </c>
      <c r="L43" s="107" t="n">
        <v>2</v>
      </c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18" customHeight="1" s="363">
      <c r="A44" s="310" t="inlineStr">
        <is>
          <t>Jul</t>
        </is>
      </c>
      <c r="B44" s="311" t="n">
        <v>59370</v>
      </c>
      <c r="C44" s="311" t="n">
        <v>20780</v>
      </c>
      <c r="D44" s="312" t="n">
        <v>8</v>
      </c>
      <c r="E44" s="304" t="n">
        <v>5</v>
      </c>
      <c r="F44" s="308" t="n">
        <v>3</v>
      </c>
      <c r="G44" s="313" t="n">
        <v>3.8</v>
      </c>
      <c r="H44" s="311" t="n">
        <v>20780</v>
      </c>
      <c r="I44" s="307" t="n">
        <v>1677</v>
      </c>
      <c r="J44" s="93" t="inlineStr">
        <is>
          <t>▲ SEASONAL ACTIVE</t>
        </is>
      </c>
      <c r="K44" s="305" t="n">
        <v>5</v>
      </c>
      <c r="L44" s="107" t="n">
        <v>3</v>
      </c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18" customHeight="1" s="363">
      <c r="A45" s="310" t="inlineStr">
        <is>
          <t>Aug</t>
        </is>
      </c>
      <c r="B45" s="311" t="n">
        <v>61844</v>
      </c>
      <c r="C45" s="311" t="n">
        <v>21645</v>
      </c>
      <c r="D45" s="312" t="n">
        <v>8</v>
      </c>
      <c r="E45" s="304" t="n">
        <v>5</v>
      </c>
      <c r="F45" s="308" t="n">
        <v>3</v>
      </c>
      <c r="G45" s="306" t="n">
        <v>4</v>
      </c>
      <c r="H45" s="311" t="n">
        <v>20917</v>
      </c>
      <c r="I45" s="307" t="n">
        <v>1677</v>
      </c>
      <c r="J45" s="93" t="inlineStr">
        <is>
          <t>▲ SEASONAL ACTIVE</t>
        </is>
      </c>
      <c r="K45" s="305" t="n">
        <v>5</v>
      </c>
      <c r="L45" s="107" t="n">
        <v>3</v>
      </c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18" customHeight="1" s="363">
      <c r="A46" s="310" t="inlineStr">
        <is>
          <t>Sep</t>
        </is>
      </c>
      <c r="B46" s="311" t="n">
        <v>54422</v>
      </c>
      <c r="C46" s="311" t="n">
        <v>19048</v>
      </c>
      <c r="D46" s="312" t="n">
        <v>7</v>
      </c>
      <c r="E46" s="304" t="n">
        <v>5</v>
      </c>
      <c r="F46" s="308" t="n">
        <v>2</v>
      </c>
      <c r="G46" s="306" t="n">
        <v>4</v>
      </c>
      <c r="H46" s="311" t="n">
        <v>18826</v>
      </c>
      <c r="I46" s="307" t="n">
        <v>3354</v>
      </c>
      <c r="J46" s="93" t="inlineStr">
        <is>
          <t>▲ SEASONAL ACTIVE</t>
        </is>
      </c>
      <c r="K46" s="305" t="n">
        <v>5</v>
      </c>
      <c r="L46" s="107" t="n">
        <v>2</v>
      </c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18" customHeight="1" s="363">
      <c r="A47" s="310" t="inlineStr">
        <is>
          <t>Oct</t>
        </is>
      </c>
      <c r="B47" s="311" t="n">
        <v>49475</v>
      </c>
      <c r="C47" s="311" t="n">
        <v>17316</v>
      </c>
      <c r="D47" s="312" t="n">
        <v>6</v>
      </c>
      <c r="E47" s="304" t="n">
        <v>5</v>
      </c>
      <c r="F47" s="308" t="n">
        <v>1</v>
      </c>
      <c r="G47" s="306" t="n">
        <v>4.2</v>
      </c>
      <c r="H47" s="311" t="n">
        <v>16873</v>
      </c>
      <c r="I47" s="307" t="n">
        <v>5031</v>
      </c>
      <c r="J47" s="93" t="inlineStr">
        <is>
          <t>▲ SEASONAL ACTIVE</t>
        </is>
      </c>
      <c r="K47" s="305" t="n">
        <v>5</v>
      </c>
      <c r="L47" s="107" t="n">
        <v>1</v>
      </c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363">
      <c r="A48" s="91" t="inlineStr">
        <is>
          <t>Nov</t>
        </is>
      </c>
      <c r="B48" s="303" t="n">
        <v>44528</v>
      </c>
      <c r="C48" s="303" t="n">
        <v>15585</v>
      </c>
      <c r="D48" s="304" t="n">
        <v>6</v>
      </c>
      <c r="E48" s="304" t="n">
        <v>5</v>
      </c>
      <c r="F48" s="308" t="n">
        <v>1</v>
      </c>
      <c r="G48" s="309" t="n">
        <v>3.8</v>
      </c>
      <c r="H48" s="303" t="n">
        <v>16598</v>
      </c>
      <c r="I48" s="307" t="n">
        <v>5031</v>
      </c>
      <c r="J48" s="92" t="inlineStr">
        <is>
          <t>● ON CORE</t>
        </is>
      </c>
      <c r="K48" s="305" t="n">
        <v>5</v>
      </c>
      <c r="L48" s="107" t="n">
        <v>1</v>
      </c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363">
      <c r="A49" s="91" t="inlineStr">
        <is>
          <t>Dec</t>
        </is>
      </c>
      <c r="B49" s="303" t="n">
        <v>47001</v>
      </c>
      <c r="C49" s="303" t="n">
        <v>16450</v>
      </c>
      <c r="D49" s="304" t="n">
        <v>6</v>
      </c>
      <c r="E49" s="304" t="n">
        <v>5</v>
      </c>
      <c r="F49" s="308" t="n">
        <v>1</v>
      </c>
      <c r="G49" s="306" t="n">
        <v>4</v>
      </c>
      <c r="H49" s="303" t="n">
        <v>16736</v>
      </c>
      <c r="I49" s="307" t="n">
        <v>5031</v>
      </c>
      <c r="J49" s="92" t="inlineStr">
        <is>
          <t>● ON CORE</t>
        </is>
      </c>
      <c r="K49" s="305" t="n">
        <v>5</v>
      </c>
      <c r="L49" s="107" t="n">
        <v>1</v>
      </c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21.75" customHeight="1" s="363">
      <c r="A50" s="9" t="inlineStr">
        <is>
          <t>ANNUAL TOTAL</t>
        </is>
      </c>
      <c r="B50" s="55" t="n">
        <v>593700</v>
      </c>
      <c r="C50" s="55" t="n">
        <v>207795</v>
      </c>
      <c r="D50" s="314" t="n"/>
      <c r="E50" s="314" t="n"/>
      <c r="F50" s="314" t="n"/>
      <c r="G50" s="314" t="n"/>
      <c r="H50" s="55" t="n">
        <v>210867</v>
      </c>
      <c r="I50" s="307" t="n">
        <v>51987</v>
      </c>
      <c r="J50" s="314" t="n"/>
      <c r="K50" s="314" t="n"/>
      <c r="L50" s="314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21.75" customHeight="1" s="363">
      <c r="A51" s="301" t="n"/>
      <c r="B51" s="301" t="n"/>
      <c r="C51" s="301" t="n"/>
      <c r="D51" s="301" t="n"/>
      <c r="E51" s="301" t="n"/>
      <c r="F51" s="301" t="n"/>
      <c r="G51" s="301" t="n"/>
      <c r="H51" s="301" t="n"/>
      <c r="I51" s="301" t="n"/>
      <c r="J51" s="301" t="n"/>
      <c r="K51" s="301" t="n"/>
      <c r="L51" s="301" t="n"/>
      <c r="M51" s="301" t="n"/>
      <c r="N51" s="301" t="n"/>
      <c r="O51" s="301" t="n"/>
      <c r="P51" s="301" t="n"/>
      <c r="Q51" s="301" t="n"/>
      <c r="R51" s="301" t="n"/>
      <c r="S51" s="301" t="n"/>
      <c r="T51" s="7" t="n"/>
      <c r="U51" s="7" t="n"/>
      <c r="V51" s="7" t="n"/>
      <c r="W51" s="7" t="n"/>
      <c r="X51" s="7" t="n"/>
      <c r="Y51" s="7" t="n"/>
      <c r="Z51" s="7" t="n"/>
    </row>
    <row r="52" ht="19.5" customHeight="1" s="363">
      <c r="A52" s="436" t="inlineStr">
        <is>
          <t>SEASONAL STAFF ROSTER  —  Core = permanent contract  |  Seasonal = fixed-term Apr–Oct</t>
        </is>
      </c>
      <c r="B52" s="398" t="n"/>
      <c r="C52" s="398" t="n"/>
      <c r="D52" s="398" t="n"/>
      <c r="E52" s="398" t="n"/>
      <c r="F52" s="398" t="n"/>
      <c r="G52" s="398" t="n"/>
      <c r="H52" s="398" t="n"/>
      <c r="I52" s="398" t="n"/>
      <c r="J52" s="398" t="n"/>
      <c r="K52" s="398" t="n"/>
      <c r="L52" s="399" t="n"/>
      <c r="M52" s="301" t="n"/>
      <c r="N52" s="301" t="n"/>
      <c r="O52" s="301" t="n"/>
      <c r="P52" s="301" t="n"/>
      <c r="Q52" s="301" t="n"/>
      <c r="R52" s="301" t="n"/>
      <c r="S52" s="301" t="n"/>
      <c r="T52" s="7" t="n"/>
      <c r="U52" s="7" t="n"/>
      <c r="V52" s="7" t="n"/>
      <c r="W52" s="7" t="n"/>
      <c r="X52" s="7" t="n"/>
      <c r="Y52" s="7" t="n"/>
      <c r="Z52" s="7" t="n"/>
    </row>
    <row r="53" ht="19.5" customHeight="1" s="363">
      <c r="A53" s="103" t="inlineStr">
        <is>
          <t>Name</t>
        </is>
      </c>
      <c r="B53" s="103" t="inlineStr">
        <is>
          <t>Contract Type</t>
        </is>
      </c>
      <c r="C53" s="103" t="inlineStr">
        <is>
          <t>Active</t>
        </is>
      </c>
      <c r="D53" s="103" t="inlineStr">
        <is>
          <t>Notes</t>
        </is>
      </c>
      <c r="E53" s="316" t="n"/>
      <c r="F53" s="316" t="n"/>
      <c r="G53" s="316" t="n"/>
      <c r="H53" s="316" t="n"/>
      <c r="I53" s="316" t="n"/>
      <c r="J53" s="316" t="n"/>
      <c r="K53" s="316" t="n"/>
      <c r="L53" s="316" t="n"/>
      <c r="M53" s="301" t="n"/>
      <c r="N53" s="301" t="n"/>
      <c r="O53" s="301" t="n"/>
      <c r="P53" s="301" t="n"/>
      <c r="Q53" s="301" t="n"/>
      <c r="R53" s="301" t="n"/>
      <c r="S53" s="301" t="n"/>
      <c r="T53" s="7" t="n"/>
      <c r="U53" s="7" t="n"/>
      <c r="V53" s="7" t="n"/>
      <c r="W53" s="7" t="n"/>
      <c r="X53" s="7" t="n"/>
      <c r="Y53" s="7" t="n"/>
      <c r="Z53" s="7" t="n"/>
    </row>
    <row r="54" ht="18" customHeight="1" s="363">
      <c r="A54" s="91" t="inlineStr">
        <is>
          <t>T1 — Isabelle</t>
        </is>
      </c>
      <c r="B54" s="317" t="inlineStr">
        <is>
          <t>Permanent</t>
        </is>
      </c>
      <c r="C54" s="317" t="inlineStr">
        <is>
          <t>Year-round</t>
        </is>
      </c>
      <c r="D54" s="318" t="inlineStr">
        <is>
          <t>Core team</t>
        </is>
      </c>
      <c r="E54" s="319" t="n"/>
      <c r="F54" s="319" t="n"/>
      <c r="G54" s="319" t="n"/>
      <c r="H54" s="319" t="n"/>
      <c r="I54" s="319" t="n"/>
      <c r="J54" s="319" t="n"/>
      <c r="K54" s="319" t="n"/>
      <c r="L54" s="319" t="n"/>
      <c r="M54" s="301" t="n"/>
      <c r="N54" s="301" t="n"/>
      <c r="O54" s="301" t="n"/>
      <c r="P54" s="301" t="n"/>
      <c r="Q54" s="301" t="n"/>
      <c r="R54" s="301" t="n"/>
      <c r="S54" s="301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91" t="inlineStr">
        <is>
          <t>T2 — Margaux</t>
        </is>
      </c>
      <c r="B55" s="317" t="inlineStr">
        <is>
          <t>Permanent</t>
        </is>
      </c>
      <c r="C55" s="317" t="inlineStr">
        <is>
          <t>Year-round</t>
        </is>
      </c>
      <c r="D55" s="318" t="inlineStr">
        <is>
          <t>Core team</t>
        </is>
      </c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01" t="n"/>
      <c r="N55" s="301" t="n"/>
      <c r="O55" s="301" t="n"/>
      <c r="P55" s="301" t="n"/>
      <c r="Q55" s="301" t="n"/>
      <c r="R55" s="301" t="n"/>
      <c r="S55" s="301" t="n"/>
      <c r="T55" s="7" t="n"/>
      <c r="U55" s="7" t="n"/>
      <c r="V55" s="7" t="n"/>
      <c r="W55" s="7" t="n"/>
      <c r="X55" s="7" t="n"/>
      <c r="Y55" s="7" t="n"/>
      <c r="Z55" s="7" t="n"/>
    </row>
    <row r="56" ht="18" customHeight="1" s="363">
      <c r="A56" s="91" t="inlineStr">
        <is>
          <t>T3 — Chiara</t>
        </is>
      </c>
      <c r="B56" s="317" t="inlineStr">
        <is>
          <t>Permanent</t>
        </is>
      </c>
      <c r="C56" s="317" t="inlineStr">
        <is>
          <t>Year-round</t>
        </is>
      </c>
      <c r="D56" s="318" t="inlineStr">
        <is>
          <t>Core team</t>
        </is>
      </c>
      <c r="E56" s="319" t="n"/>
      <c r="F56" s="319" t="n"/>
      <c r="G56" s="319" t="n"/>
      <c r="H56" s="319" t="n"/>
      <c r="I56" s="319" t="n"/>
      <c r="J56" s="319" t="n"/>
      <c r="K56" s="319" t="n"/>
      <c r="L56" s="319" t="n"/>
      <c r="M56" s="301" t="n"/>
      <c r="N56" s="301" t="n"/>
      <c r="O56" s="301" t="n"/>
      <c r="P56" s="301" t="n"/>
      <c r="Q56" s="301" t="n"/>
      <c r="R56" s="301" t="n"/>
      <c r="S56" s="301" t="n"/>
      <c r="T56" s="7" t="n"/>
      <c r="U56" s="7" t="n"/>
      <c r="V56" s="7" t="n"/>
      <c r="W56" s="7" t="n"/>
      <c r="X56" s="7" t="n"/>
      <c r="Y56" s="7" t="n"/>
      <c r="Z56" s="7" t="n"/>
    </row>
    <row r="57" ht="18" customHeight="1" s="363">
      <c r="A57" s="91" t="inlineStr">
        <is>
          <t>T4 — Eleni</t>
        </is>
      </c>
      <c r="B57" s="317" t="inlineStr">
        <is>
          <t>Permanent</t>
        </is>
      </c>
      <c r="C57" s="317" t="inlineStr">
        <is>
          <t>Year-round</t>
        </is>
      </c>
      <c r="D57" s="318" t="inlineStr">
        <is>
          <t>Core team</t>
        </is>
      </c>
      <c r="E57" s="319" t="n"/>
      <c r="F57" s="319" t="n"/>
      <c r="G57" s="319" t="n"/>
      <c r="H57" s="319" t="n"/>
      <c r="I57" s="319" t="n"/>
      <c r="J57" s="319" t="n"/>
      <c r="K57" s="319" t="n"/>
      <c r="L57" s="319" t="n"/>
      <c r="M57" s="301" t="n"/>
      <c r="N57" s="301" t="n"/>
      <c r="O57" s="301" t="n"/>
      <c r="P57" s="301" t="n"/>
      <c r="Q57" s="301" t="n"/>
      <c r="R57" s="301" t="n"/>
      <c r="S57" s="301" t="n"/>
      <c r="T57" s="7" t="n"/>
      <c r="U57" s="7" t="n"/>
      <c r="V57" s="7" t="n"/>
      <c r="W57" s="7" t="n"/>
      <c r="X57" s="7" t="n"/>
      <c r="Y57" s="7" t="n"/>
      <c r="Z57" s="7" t="n"/>
    </row>
    <row r="58" ht="18" customHeight="1" s="363">
      <c r="A58" s="91" t="inlineStr">
        <is>
          <t>T5 — Priya</t>
        </is>
      </c>
      <c r="B58" s="317" t="inlineStr">
        <is>
          <t>Permanent</t>
        </is>
      </c>
      <c r="C58" s="317" t="inlineStr">
        <is>
          <t>Year-round</t>
        </is>
      </c>
      <c r="D58" s="318" t="inlineStr">
        <is>
          <t>Core team</t>
        </is>
      </c>
      <c r="E58" s="319" t="n"/>
      <c r="F58" s="319" t="n"/>
      <c r="G58" s="319" t="n"/>
      <c r="H58" s="319" t="n"/>
      <c r="I58" s="319" t="n"/>
      <c r="J58" s="319" t="n"/>
      <c r="K58" s="319" t="n"/>
      <c r="L58" s="319" t="n"/>
      <c r="M58" s="301" t="n"/>
      <c r="N58" s="301" t="n"/>
      <c r="O58" s="301" t="n"/>
      <c r="P58" s="301" t="n"/>
      <c r="Q58" s="301" t="n"/>
      <c r="R58" s="301" t="n"/>
      <c r="S58" s="301" t="n"/>
      <c r="T58" s="7" t="n"/>
      <c r="U58" s="7" t="n"/>
      <c r="V58" s="7" t="n"/>
      <c r="W58" s="7" t="n"/>
      <c r="X58" s="7" t="n"/>
      <c r="Y58" s="7" t="n"/>
      <c r="Z58" s="7" t="n"/>
    </row>
    <row r="59" ht="18" customHeight="1" s="363">
      <c r="A59" s="320" t="inlineStr">
        <is>
          <t>T6 — Sofia (seasonal)</t>
        </is>
      </c>
      <c r="B59" s="321" t="inlineStr">
        <is>
          <t>Fixed-term seasonal</t>
        </is>
      </c>
      <c r="C59" s="321" t="inlineStr">
        <is>
          <t>Apr 1 – Oct 31</t>
        </is>
      </c>
      <c r="D59" s="322" t="inlineStr">
        <is>
          <t>Recruit by Feb 15</t>
        </is>
      </c>
      <c r="E59" s="323" t="n"/>
      <c r="F59" s="323" t="n"/>
      <c r="G59" s="323" t="n"/>
      <c r="H59" s="323" t="n"/>
      <c r="I59" s="323" t="n"/>
      <c r="J59" s="323" t="n"/>
      <c r="K59" s="323" t="n"/>
      <c r="L59" s="323" t="n"/>
      <c r="M59" s="301" t="n"/>
      <c r="N59" s="301" t="n"/>
      <c r="O59" s="301" t="n"/>
      <c r="P59" s="301" t="n"/>
      <c r="Q59" s="301" t="n"/>
      <c r="R59" s="301" t="n"/>
      <c r="S59" s="301" t="n"/>
      <c r="T59" s="7" t="n"/>
      <c r="U59" s="7" t="n"/>
      <c r="V59" s="7" t="n"/>
      <c r="W59" s="7" t="n"/>
      <c r="X59" s="7" t="n"/>
      <c r="Y59" s="7" t="n"/>
      <c r="Z59" s="7" t="n"/>
    </row>
    <row r="60" ht="18" customHeight="1" s="363">
      <c r="A60" s="320" t="inlineStr">
        <is>
          <t>T7 — Anya (seasonal)</t>
        </is>
      </c>
      <c r="B60" s="321" t="inlineStr">
        <is>
          <t>Fixed-term seasonal</t>
        </is>
      </c>
      <c r="C60" s="321" t="inlineStr">
        <is>
          <t>Apr 1 – Oct 31</t>
        </is>
      </c>
      <c r="D60" s="322" t="inlineStr">
        <is>
          <t>Recruit by Feb 15</t>
        </is>
      </c>
      <c r="E60" s="323" t="n"/>
      <c r="F60" s="323" t="n"/>
      <c r="G60" s="323" t="n"/>
      <c r="H60" s="323" t="n"/>
      <c r="I60" s="323" t="n"/>
      <c r="J60" s="323" t="n"/>
      <c r="K60" s="323" t="n"/>
      <c r="L60" s="323" t="n"/>
      <c r="M60" s="301" t="n"/>
      <c r="N60" s="301" t="n"/>
      <c r="O60" s="301" t="n"/>
      <c r="P60" s="301" t="n"/>
      <c r="Q60" s="301" t="n"/>
      <c r="R60" s="301" t="n"/>
      <c r="S60" s="301" t="n"/>
      <c r="T60" s="7" t="n"/>
      <c r="U60" s="7" t="n"/>
      <c r="V60" s="7" t="n"/>
      <c r="W60" s="7" t="n"/>
      <c r="X60" s="7" t="n"/>
      <c r="Y60" s="7" t="n"/>
      <c r="Z60" s="7" t="n"/>
    </row>
    <row r="61" ht="18" customHeight="1" s="363">
      <c r="A61" s="320" t="inlineStr">
        <is>
          <t>T8 — Leila (seasonal)</t>
        </is>
      </c>
      <c r="B61" s="321" t="inlineStr">
        <is>
          <t>Fixed-term seasonal</t>
        </is>
      </c>
      <c r="C61" s="321" t="inlineStr">
        <is>
          <t>Apr 1 – Oct 31</t>
        </is>
      </c>
      <c r="D61" s="322" t="inlineStr">
        <is>
          <t>Recruit by Feb 15</t>
        </is>
      </c>
      <c r="E61" s="323" t="n"/>
      <c r="F61" s="323" t="n"/>
      <c r="G61" s="323" t="n"/>
      <c r="H61" s="323" t="n"/>
      <c r="I61" s="323" t="n"/>
      <c r="J61" s="323" t="n"/>
      <c r="K61" s="323" t="n"/>
      <c r="L61" s="323" t="n"/>
      <c r="M61" s="301" t="n"/>
      <c r="N61" s="301" t="n"/>
      <c r="O61" s="301" t="n"/>
      <c r="P61" s="301" t="n"/>
      <c r="Q61" s="301" t="n"/>
      <c r="R61" s="301" t="n"/>
      <c r="S61" s="301" t="n"/>
      <c r="T61" s="7" t="n"/>
      <c r="U61" s="7" t="n"/>
      <c r="V61" s="7" t="n"/>
      <c r="W61" s="7" t="n"/>
      <c r="X61" s="7" t="n"/>
      <c r="Y61" s="7" t="n"/>
      <c r="Z61" s="7" t="n"/>
    </row>
    <row r="62" ht="18" customHeight="1" s="363">
      <c r="A62" s="301" t="n"/>
      <c r="B62" s="301" t="n"/>
      <c r="C62" s="301" t="n"/>
      <c r="D62" s="301" t="n"/>
      <c r="E62" s="301" t="n"/>
      <c r="F62" s="301" t="n"/>
      <c r="G62" s="301" t="n"/>
      <c r="H62" s="301" t="n"/>
      <c r="I62" s="301" t="n"/>
      <c r="J62" s="301" t="n"/>
      <c r="K62" s="301" t="n"/>
      <c r="L62" s="301" t="n"/>
      <c r="M62" s="301" t="n"/>
      <c r="N62" s="301" t="n"/>
      <c r="O62" s="301" t="n"/>
      <c r="P62" s="301" t="n"/>
      <c r="Q62" s="301" t="n"/>
      <c r="R62" s="301" t="n"/>
      <c r="S62" s="301" t="n"/>
      <c r="T62" s="7" t="n"/>
      <c r="U62" s="7" t="n"/>
      <c r="V62" s="7" t="n"/>
      <c r="W62" s="7" t="n"/>
      <c r="X62" s="7" t="n"/>
      <c r="Y62" s="7" t="n"/>
      <c r="Z62" s="7" t="n"/>
    </row>
    <row r="63" ht="21.75" customHeight="1" s="363">
      <c r="A63" s="262" t="inlineStr">
        <is>
          <t>T:R RATIO QC  —  THERAPIST · RECEPTION HC SPEND RECONCILIATION  |  Validates that cost allocation by role is within industry benchmarks</t>
        </is>
      </c>
      <c r="B63" s="398" t="n"/>
      <c r="C63" s="398" t="n"/>
      <c r="D63" s="398" t="n"/>
      <c r="E63" s="398" t="n"/>
      <c r="F63" s="398" t="n"/>
      <c r="G63" s="398" t="n"/>
      <c r="H63" s="398" t="n"/>
      <c r="I63" s="398" t="n"/>
      <c r="J63" s="398" t="n"/>
      <c r="K63" s="398" t="n"/>
      <c r="L63" s="399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30" customHeight="1" s="363">
      <c r="A64" s="17" t="inlineStr">
        <is>
          <t>Role / Category</t>
        </is>
      </c>
      <c r="B64" s="17" t="inlineStr">
        <is>
          <t>Avg Annual
FTEs</t>
        </is>
      </c>
      <c r="C64" s="17" t="inlineStr">
        <is>
          <t>Annual Cost (€)</t>
        </is>
      </c>
      <c r="D64" s="17" t="inlineStr">
        <is>
          <t>% of Total
Dynamic HC</t>
        </is>
      </c>
      <c r="E64" s="17" t="inlineStr">
        <is>
          <t>Industry
Benchmark</t>
        </is>
      </c>
      <c r="F64" s="17" t="inlineStr">
        <is>
          <t>QC Status</t>
        </is>
      </c>
      <c r="G64" s="324" t="n"/>
      <c r="H64" s="324" t="n"/>
      <c r="I64" s="324" t="n"/>
      <c r="J64" s="324" t="n"/>
      <c r="K64" s="324" t="n"/>
      <c r="L64" s="324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8" customHeight="1" s="363">
      <c r="A65" s="91" t="inlineStr">
        <is>
          <t>Therapists (T)</t>
        </is>
      </c>
      <c r="B65" s="325" t="inlineStr">
        <is>
          <t>6.4</t>
        </is>
      </c>
      <c r="C65" s="303" t="n">
        <v>129129</v>
      </c>
      <c r="D65" s="326" t="n">
        <v>0.6123717793680377</v>
      </c>
      <c r="E65" s="327" t="inlineStr">
        <is>
          <t>60% – 85%</t>
        </is>
      </c>
      <c r="F65" s="328" t="inlineStr">
        <is>
          <t>✓  T = 61.2% of total HC</t>
        </is>
      </c>
      <c r="G65" s="329" t="n"/>
      <c r="H65" s="329" t="n"/>
      <c r="I65" s="329" t="n"/>
      <c r="J65" s="329" t="n"/>
      <c r="K65" s="329" t="n"/>
      <c r="L65" s="329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8" customHeight="1" s="363">
      <c r="A66" s="330" t="inlineStr">
        <is>
          <t>Reception (R)</t>
        </is>
      </c>
      <c r="B66" s="331" t="inlineStr">
        <is>
          <t>2</t>
        </is>
      </c>
      <c r="C66" s="28" t="n">
        <v>37560</v>
      </c>
      <c r="D66" s="326" t="n">
        <v>0.1781217544708276</v>
      </c>
      <c r="E66" s="332" t="inlineStr">
        <is>
          <t>7% – 20%</t>
        </is>
      </c>
      <c r="F66" s="328" t="inlineStr">
        <is>
          <t>✓  R = 17.8% of total HC</t>
        </is>
      </c>
      <c r="G66" s="333" t="n"/>
      <c r="H66" s="333" t="n"/>
      <c r="I66" s="333" t="n"/>
      <c r="J66" s="333" t="n"/>
      <c r="K66" s="333" t="n"/>
      <c r="L66" s="333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8" customHeight="1" s="363">
      <c r="A67" s="334" t="inlineStr">
        <is>
          <t>Relationship Manager (RM)</t>
        </is>
      </c>
      <c r="B67" s="335" t="inlineStr">
        <is>
          <t>33% FTE</t>
        </is>
      </c>
      <c r="C67" s="336" t="n">
        <v>11064</v>
      </c>
      <c r="D67" s="326" t="n">
        <v>0.0524690918920457</v>
      </c>
      <c r="E67" s="337" t="inlineStr">
        <is>
          <t>3% – 10%</t>
        </is>
      </c>
      <c r="F67" s="328" t="inlineStr">
        <is>
          <t>✓  RM = 5.2% of total HC</t>
        </is>
      </c>
      <c r="G67" s="338" t="n"/>
      <c r="H67" s="338" t="n"/>
      <c r="I67" s="338" t="n"/>
      <c r="J67" s="338" t="n"/>
      <c r="K67" s="338" t="n"/>
      <c r="L67" s="338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8" customHeight="1" s="363">
      <c r="A68" s="339" t="inlineStr">
        <is>
          <t>Variable Commissions</t>
        </is>
      </c>
      <c r="B68" s="340" t="inlineStr">
        <is>
          <t>—</t>
        </is>
      </c>
      <c r="C68" s="341" t="n">
        <v>33114</v>
      </c>
      <c r="D68" s="342" t="n">
        <v>0.157037374269089</v>
      </c>
      <c r="E68" s="340" t="inlineStr">
        <is>
          <t>—</t>
        </is>
      </c>
      <c r="F68" s="339" t="inlineStr">
        <is>
          <t>Treatment + retail performance bonuses</t>
        </is>
      </c>
      <c r="G68" s="343" t="n"/>
      <c r="H68" s="343" t="n"/>
      <c r="I68" s="343" t="n"/>
      <c r="J68" s="343" t="n"/>
      <c r="K68" s="343" t="n"/>
      <c r="L68" s="343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21.75" customHeight="1" s="363">
      <c r="A69" s="262" t="inlineStr">
        <is>
          <t>TOTAL DYNAMIC HC</t>
        </is>
      </c>
      <c r="B69" s="344" t="inlineStr">
        <is>
          <t>—</t>
        </is>
      </c>
      <c r="C69" s="55" t="n">
        <v>210867</v>
      </c>
      <c r="D69" s="9" t="inlineStr">
        <is>
          <t>100.0%</t>
        </is>
      </c>
      <c r="E69" s="56" t="n"/>
      <c r="F69" s="56" t="n"/>
      <c r="G69" s="56" t="n"/>
      <c r="H69" s="56" t="n"/>
      <c r="I69" s="56" t="n"/>
      <c r="J69" s="56" t="n"/>
      <c r="K69" s="56" t="n"/>
      <c r="L69" s="56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9.5" customHeight="1" s="363">
      <c r="A70" s="345" t="inlineStr">
        <is>
          <t>T:R Headcount Ratio</t>
        </is>
      </c>
      <c r="B70" s="346" t="inlineStr">
        <is>
          <t>3.2 : 1</t>
        </is>
      </c>
      <c r="C70" s="347" t="inlineStr">
        <is>
          <t>Avg 6.4 therapists : 2 receptionist(s)</t>
        </is>
      </c>
      <c r="D70" s="306" t="n">
        <v>3.2</v>
      </c>
      <c r="E70" s="257" t="inlineStr">
        <is>
          <t>3:1 – 7:1</t>
        </is>
      </c>
      <c r="F70" s="328" t="inlineStr">
        <is>
          <t>✓  Ratio 3.2:1 — healthy</t>
        </is>
      </c>
      <c r="G70" s="324" t="n"/>
      <c r="H70" s="324" t="n"/>
      <c r="I70" s="324" t="n"/>
      <c r="J70" s="324" t="n"/>
      <c r="K70" s="324" t="n"/>
      <c r="L70" s="324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9.5" customHeight="1" s="363">
      <c r="A71" s="345" t="inlineStr">
        <is>
          <t>T:R Spend Ratio (€)</t>
        </is>
      </c>
      <c r="B71" s="346" t="inlineStr">
        <is>
          <t>3.4×</t>
        </is>
      </c>
      <c r="C71" s="347" t="inlineStr">
        <is>
          <t>For every €1 in reception cost, €3.4 spent on therapists</t>
        </is>
      </c>
      <c r="D71" s="306" t="n">
        <v>3.437939297124601</v>
      </c>
      <c r="E71" s="257" t="inlineStr">
        <is>
          <t>3× – 8×</t>
        </is>
      </c>
      <c r="F71" s="328" t="inlineStr">
        <is>
          <t>✓  Spend ratio 3.4× — healthy</t>
        </is>
      </c>
      <c r="G71" s="324" t="n"/>
      <c r="H71" s="324" t="n"/>
      <c r="I71" s="324" t="n"/>
      <c r="J71" s="324" t="n"/>
      <c r="K71" s="324" t="n"/>
      <c r="L71" s="324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8">
    <mergeCell ref="A1:J1"/>
    <mergeCell ref="A72:L72"/>
    <mergeCell ref="A52:L52"/>
    <mergeCell ref="A63:L63"/>
    <mergeCell ref="A36:L36"/>
    <mergeCell ref="A4:J4"/>
    <mergeCell ref="A20:J20"/>
    <mergeCell ref="A2:J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HUGOS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€570,552  |  Monthly avg: €47,546  |  Receptionists: 2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38037</v>
      </c>
      <c r="C6" s="54" t="n">
        <v>15215</v>
      </c>
      <c r="D6" s="54" t="n">
        <v>10963</v>
      </c>
      <c r="E6" s="29" t="n">
        <v>5</v>
      </c>
      <c r="F6" s="54" t="n">
        <v>3130</v>
      </c>
      <c r="G6" s="29" t="n">
        <v>2</v>
      </c>
      <c r="H6" s="54" t="n">
        <v>1122</v>
      </c>
      <c r="I6" s="54" t="n">
        <v>0</v>
      </c>
      <c r="J6" s="54" t="n">
        <v>15215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40414</v>
      </c>
      <c r="C7" s="289" t="n">
        <v>16166</v>
      </c>
      <c r="D7" s="289" t="n">
        <v>11902</v>
      </c>
      <c r="E7" s="290" t="n">
        <v>5</v>
      </c>
      <c r="F7" s="289" t="n">
        <v>3130</v>
      </c>
      <c r="G7" s="290" t="n">
        <v>2</v>
      </c>
      <c r="H7" s="289" t="n">
        <v>1134</v>
      </c>
      <c r="I7" s="289" t="n">
        <v>0</v>
      </c>
      <c r="J7" s="289" t="n">
        <v>16166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42791</v>
      </c>
      <c r="C8" s="54" t="n">
        <v>17116</v>
      </c>
      <c r="D8" s="54" t="n">
        <v>12840</v>
      </c>
      <c r="E8" s="29" t="n">
        <v>6</v>
      </c>
      <c r="F8" s="54" t="n">
        <v>3130</v>
      </c>
      <c r="G8" s="29" t="n">
        <v>2</v>
      </c>
      <c r="H8" s="54" t="n">
        <v>1146</v>
      </c>
      <c r="I8" s="54" t="n">
        <v>0</v>
      </c>
      <c r="J8" s="54" t="n">
        <v>17116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45169</v>
      </c>
      <c r="C9" s="289" t="n">
        <v>18068</v>
      </c>
      <c r="D9" s="289" t="n">
        <v>13780</v>
      </c>
      <c r="E9" s="290" t="n">
        <v>6</v>
      </c>
      <c r="F9" s="289" t="n">
        <v>3130</v>
      </c>
      <c r="G9" s="290" t="n">
        <v>2</v>
      </c>
      <c r="H9" s="289" t="n">
        <v>1158</v>
      </c>
      <c r="I9" s="289" t="n">
        <v>0</v>
      </c>
      <c r="J9" s="289" t="n">
        <v>18068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47546</v>
      </c>
      <c r="C10" s="54" t="n">
        <v>19018</v>
      </c>
      <c r="D10" s="54" t="n">
        <v>14718</v>
      </c>
      <c r="E10" s="29" t="n">
        <v>7</v>
      </c>
      <c r="F10" s="54" t="n">
        <v>3130</v>
      </c>
      <c r="G10" s="29" t="n">
        <v>2</v>
      </c>
      <c r="H10" s="54" t="n">
        <v>1170</v>
      </c>
      <c r="I10" s="54" t="n">
        <v>0</v>
      </c>
      <c r="J10" s="54" t="n">
        <v>19018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52301</v>
      </c>
      <c r="C11" s="289" t="n">
        <v>20920</v>
      </c>
      <c r="D11" s="289" t="n">
        <v>16596</v>
      </c>
      <c r="E11" s="290" t="n">
        <v>8</v>
      </c>
      <c r="F11" s="289" t="n">
        <v>3130</v>
      </c>
      <c r="G11" s="290" t="n">
        <v>2</v>
      </c>
      <c r="H11" s="289" t="n">
        <v>1194</v>
      </c>
      <c r="I11" s="289" t="n">
        <v>0</v>
      </c>
      <c r="J11" s="289" t="n">
        <v>20920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57055</v>
      </c>
      <c r="C12" s="54" t="n">
        <v>22822</v>
      </c>
      <c r="D12" s="54" t="n">
        <v>18475</v>
      </c>
      <c r="E12" s="29" t="n">
        <v>9</v>
      </c>
      <c r="F12" s="54" t="n">
        <v>3130</v>
      </c>
      <c r="G12" s="29" t="n">
        <v>2</v>
      </c>
      <c r="H12" s="54" t="n">
        <v>1217</v>
      </c>
      <c r="I12" s="54" t="n">
        <v>0</v>
      </c>
      <c r="J12" s="54" t="n">
        <v>22822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59432</v>
      </c>
      <c r="C13" s="289" t="n">
        <v>23773</v>
      </c>
      <c r="D13" s="289" t="n">
        <v>19414</v>
      </c>
      <c r="E13" s="290" t="n">
        <v>9</v>
      </c>
      <c r="F13" s="289" t="n">
        <v>3130</v>
      </c>
      <c r="G13" s="290" t="n">
        <v>2</v>
      </c>
      <c r="H13" s="289" t="n">
        <v>1229</v>
      </c>
      <c r="I13" s="289" t="n">
        <v>0</v>
      </c>
      <c r="J13" s="289" t="n">
        <v>23773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52301</v>
      </c>
      <c r="C14" s="54" t="n">
        <v>20920</v>
      </c>
      <c r="D14" s="54" t="n">
        <v>16596</v>
      </c>
      <c r="E14" s="29" t="n">
        <v>8</v>
      </c>
      <c r="F14" s="54" t="n">
        <v>3130</v>
      </c>
      <c r="G14" s="29" t="n">
        <v>2</v>
      </c>
      <c r="H14" s="54" t="n">
        <v>1194</v>
      </c>
      <c r="I14" s="54" t="n">
        <v>0</v>
      </c>
      <c r="J14" s="54" t="n">
        <v>20920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47546</v>
      </c>
      <c r="C15" s="289" t="n">
        <v>19018</v>
      </c>
      <c r="D15" s="289" t="n">
        <v>14718</v>
      </c>
      <c r="E15" s="290" t="n">
        <v>7</v>
      </c>
      <c r="F15" s="289" t="n">
        <v>3130</v>
      </c>
      <c r="G15" s="290" t="n">
        <v>2</v>
      </c>
      <c r="H15" s="289" t="n">
        <v>1170</v>
      </c>
      <c r="I15" s="289" t="n">
        <v>0</v>
      </c>
      <c r="J15" s="289" t="n">
        <v>19018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42791</v>
      </c>
      <c r="C16" s="54" t="n">
        <v>17116</v>
      </c>
      <c r="D16" s="54" t="n">
        <v>12840</v>
      </c>
      <c r="E16" s="29" t="n">
        <v>6</v>
      </c>
      <c r="F16" s="54" t="n">
        <v>3130</v>
      </c>
      <c r="G16" s="29" t="n">
        <v>2</v>
      </c>
      <c r="H16" s="54" t="n">
        <v>1146</v>
      </c>
      <c r="I16" s="54" t="n">
        <v>0</v>
      </c>
      <c r="J16" s="54" t="n">
        <v>17116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45169</v>
      </c>
      <c r="C17" s="289" t="n">
        <v>18068</v>
      </c>
      <c r="D17" s="289" t="n">
        <v>13780</v>
      </c>
      <c r="E17" s="290" t="n">
        <v>6</v>
      </c>
      <c r="F17" s="289" t="n">
        <v>3130</v>
      </c>
      <c r="G17" s="290" t="n">
        <v>2</v>
      </c>
      <c r="H17" s="289" t="n">
        <v>1158</v>
      </c>
      <c r="I17" s="289" t="n">
        <v>0</v>
      </c>
      <c r="J17" s="289" t="n">
        <v>18068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570552</v>
      </c>
      <c r="C18" s="292" t="n">
        <v>228220</v>
      </c>
      <c r="D18" s="292" t="n">
        <v>176622</v>
      </c>
      <c r="E18" s="293" t="n"/>
      <c r="F18" s="292" t="n">
        <v>37560</v>
      </c>
      <c r="G18" s="293" t="n">
        <v>2</v>
      </c>
      <c r="H18" s="292" t="n">
        <v>14038</v>
      </c>
      <c r="I18" s="292" t="n">
        <v>0</v>
      </c>
      <c r="J18" s="292" t="n">
        <v>228220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Lucia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27" t="inlineStr">
        <is>
          <t>A</t>
        </is>
      </c>
      <c r="G22" s="127" t="inlineStr">
        <is>
          <t>A</t>
        </is>
      </c>
      <c r="H22" s="127" t="inlineStr">
        <is>
          <t>A</t>
        </is>
      </c>
      <c r="I22" s="127" t="inlineStr">
        <is>
          <t>A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Amara</t>
        </is>
      </c>
      <c r="B23" s="300" t="inlineStr">
        <is>
          <t>Therapist</t>
        </is>
      </c>
      <c r="C23" s="126" t="inlineStr">
        <is>
          <t>OFF</t>
        </is>
      </c>
      <c r="D23" s="126" t="inlineStr">
        <is>
          <t>OFF</t>
        </is>
      </c>
      <c r="E23" s="127" t="inlineStr">
        <is>
          <t>A</t>
        </is>
      </c>
      <c r="F23" s="127" t="inlineStr">
        <is>
          <t>A</t>
        </is>
      </c>
      <c r="G23" s="127" t="inlineStr">
        <is>
          <t>A</t>
        </is>
      </c>
      <c r="H23" s="127" t="inlineStr">
        <is>
          <t>A</t>
        </is>
      </c>
      <c r="I23" s="137" t="inlineStr">
        <is>
          <t>B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T3 — Valentina</t>
        </is>
      </c>
      <c r="B24" s="298" t="inlineStr">
        <is>
          <t>Therapist</t>
        </is>
      </c>
      <c r="C24" s="126" t="inlineStr">
        <is>
          <t>OFF</t>
        </is>
      </c>
      <c r="D24" s="126" t="inlineStr">
        <is>
          <t>OFF</t>
        </is>
      </c>
      <c r="E24" s="137" t="inlineStr">
        <is>
          <t>B</t>
        </is>
      </c>
      <c r="F24" s="137" t="inlineStr">
        <is>
          <t>B</t>
        </is>
      </c>
      <c r="G24" s="137" t="inlineStr">
        <is>
          <t>B</t>
        </is>
      </c>
      <c r="H24" s="137" t="inlineStr">
        <is>
          <t>B</t>
        </is>
      </c>
      <c r="I24" s="127" t="inlineStr">
        <is>
          <t>A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162" t="inlineStr">
        <is>
          <t>T4 — Hana</t>
        </is>
      </c>
      <c r="B25" s="300" t="inlineStr">
        <is>
          <t>Therapist</t>
        </is>
      </c>
      <c r="C25" s="127" t="inlineStr">
        <is>
          <t>A</t>
        </is>
      </c>
      <c r="D25" s="126" t="inlineStr">
        <is>
          <t>OFF</t>
        </is>
      </c>
      <c r="E25" s="126" t="inlineStr">
        <is>
          <t>OFF</t>
        </is>
      </c>
      <c r="F25" s="127" t="inlineStr">
        <is>
          <t>A</t>
        </is>
      </c>
      <c r="G25" s="127" t="inlineStr">
        <is>
          <t>A</t>
        </is>
      </c>
      <c r="H25" s="127" t="inlineStr">
        <is>
          <t>A</t>
        </is>
      </c>
      <c r="I25" s="127" t="inlineStr">
        <is>
          <t>A</t>
        </is>
      </c>
      <c r="J25" s="299" t="n">
        <v>5</v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297" t="inlineStr">
        <is>
          <t>T5 — Renata</t>
        </is>
      </c>
      <c r="B26" s="298" t="inlineStr">
        <is>
          <t>Therapist</t>
        </is>
      </c>
      <c r="C26" s="127" t="inlineStr">
        <is>
          <t>A</t>
        </is>
      </c>
      <c r="D26" s="126" t="inlineStr">
        <is>
          <t>OFF</t>
        </is>
      </c>
      <c r="E26" s="126" t="inlineStr">
        <is>
          <t>OFF</t>
        </is>
      </c>
      <c r="F26" s="127" t="inlineStr">
        <is>
          <t>A</t>
        </is>
      </c>
      <c r="G26" s="127" t="inlineStr">
        <is>
          <t>A</t>
        </is>
      </c>
      <c r="H26" s="127" t="inlineStr">
        <is>
          <t>A</t>
        </is>
      </c>
      <c r="I26" s="137" t="inlineStr">
        <is>
          <t>B</t>
        </is>
      </c>
      <c r="J26" s="299" t="n">
        <v>5</v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 s="363">
      <c r="A27" s="162" t="inlineStr">
        <is>
          <t>T6 — Zara</t>
        </is>
      </c>
      <c r="B27" s="300" t="inlineStr">
        <is>
          <t>Therapist</t>
        </is>
      </c>
      <c r="C27" s="137" t="inlineStr">
        <is>
          <t>B</t>
        </is>
      </c>
      <c r="D27" s="126" t="inlineStr">
        <is>
          <t>OFF</t>
        </is>
      </c>
      <c r="E27" s="126" t="inlineStr">
        <is>
          <t>OFF</t>
        </is>
      </c>
      <c r="F27" s="137" t="inlineStr">
        <is>
          <t>B</t>
        </is>
      </c>
      <c r="G27" s="137" t="inlineStr">
        <is>
          <t>B</t>
        </is>
      </c>
      <c r="H27" s="137" t="inlineStr">
        <is>
          <t>B</t>
        </is>
      </c>
      <c r="I27" s="127" t="inlineStr">
        <is>
          <t>A</t>
        </is>
      </c>
      <c r="J27" s="299" t="n">
        <v>5</v>
      </c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9.5" customHeight="1" s="363">
      <c r="A28" s="297" t="inlineStr">
        <is>
          <t>T7 — Fatima</t>
        </is>
      </c>
      <c r="B28" s="298" t="inlineStr">
        <is>
          <t>Therapist</t>
        </is>
      </c>
      <c r="C28" s="127" t="inlineStr">
        <is>
          <t>A</t>
        </is>
      </c>
      <c r="D28" s="127" t="inlineStr">
        <is>
          <t>A</t>
        </is>
      </c>
      <c r="E28" s="126" t="inlineStr">
        <is>
          <t>OFF</t>
        </is>
      </c>
      <c r="F28" s="126" t="inlineStr">
        <is>
          <t>OFF</t>
        </is>
      </c>
      <c r="G28" s="127" t="inlineStr">
        <is>
          <t>A</t>
        </is>
      </c>
      <c r="H28" s="127" t="inlineStr">
        <is>
          <t>A</t>
        </is>
      </c>
      <c r="I28" s="127" t="inlineStr">
        <is>
          <t>A</t>
        </is>
      </c>
      <c r="J28" s="299" t="n">
        <v>5</v>
      </c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9.5" customHeight="1" s="363">
      <c r="A29" s="162" t="inlineStr">
        <is>
          <t>T8 — Ingrid</t>
        </is>
      </c>
      <c r="B29" s="300" t="inlineStr">
        <is>
          <t>Therapist</t>
        </is>
      </c>
      <c r="C29" s="127" t="inlineStr">
        <is>
          <t>A</t>
        </is>
      </c>
      <c r="D29" s="127" t="inlineStr">
        <is>
          <t>A</t>
        </is>
      </c>
      <c r="E29" s="126" t="inlineStr">
        <is>
          <t>OFF</t>
        </is>
      </c>
      <c r="F29" s="126" t="inlineStr">
        <is>
          <t>OFF</t>
        </is>
      </c>
      <c r="G29" s="127" t="inlineStr">
        <is>
          <t>A</t>
        </is>
      </c>
      <c r="H29" s="127" t="inlineStr">
        <is>
          <t>A</t>
        </is>
      </c>
      <c r="I29" s="137" t="inlineStr">
        <is>
          <t>B</t>
        </is>
      </c>
      <c r="J29" s="299" t="n">
        <v>5</v>
      </c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9.5" customHeight="1" s="363">
      <c r="A30" s="297" t="inlineStr">
        <is>
          <t>T9 — Celine</t>
        </is>
      </c>
      <c r="B30" s="298" t="inlineStr">
        <is>
          <t>Therapist</t>
        </is>
      </c>
      <c r="C30" s="137" t="inlineStr">
        <is>
          <t>B</t>
        </is>
      </c>
      <c r="D30" s="137" t="inlineStr">
        <is>
          <t>B</t>
        </is>
      </c>
      <c r="E30" s="126" t="inlineStr">
        <is>
          <t>OFF</t>
        </is>
      </c>
      <c r="F30" s="126" t="inlineStr">
        <is>
          <t>OFF</t>
        </is>
      </c>
      <c r="G30" s="137" t="inlineStr">
        <is>
          <t>B</t>
        </is>
      </c>
      <c r="H30" s="137" t="inlineStr">
        <is>
          <t>B</t>
        </is>
      </c>
      <c r="I30" s="127" t="inlineStr">
        <is>
          <t>A</t>
        </is>
      </c>
      <c r="J30" s="299" t="n">
        <v>5</v>
      </c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9.5" customHeight="1" s="363">
      <c r="A31" s="162" t="inlineStr">
        <is>
          <t>R1 — Miriam</t>
        </is>
      </c>
      <c r="B31" s="300" t="inlineStr">
        <is>
          <t>Receptionist</t>
        </is>
      </c>
      <c r="C31" s="126" t="inlineStr">
        <is>
          <t>OFF</t>
        </is>
      </c>
      <c r="D31" s="126" t="inlineStr">
        <is>
          <t>OFF</t>
        </is>
      </c>
      <c r="E31" s="127" t="inlineStr">
        <is>
          <t>A</t>
        </is>
      </c>
      <c r="F31" s="127" t="inlineStr">
        <is>
          <t>A</t>
        </is>
      </c>
      <c r="G31" s="127" t="inlineStr">
        <is>
          <t>A</t>
        </is>
      </c>
      <c r="H31" s="127" t="inlineStr">
        <is>
          <t>A</t>
        </is>
      </c>
      <c r="I31" s="127" t="inlineStr">
        <is>
          <t>A</t>
        </is>
      </c>
      <c r="J31" s="299" t="n">
        <v>5</v>
      </c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9.5" customHeight="1" s="363">
      <c r="A32" s="297" t="inlineStr">
        <is>
          <t>R2 — Dina</t>
        </is>
      </c>
      <c r="B32" s="298" t="inlineStr">
        <is>
          <t>Receptionist</t>
        </is>
      </c>
      <c r="C32" s="127" t="inlineStr">
        <is>
          <t>A</t>
        </is>
      </c>
      <c r="D32" s="127" t="inlineStr">
        <is>
          <t>A</t>
        </is>
      </c>
      <c r="E32" s="126" t="inlineStr">
        <is>
          <t>OFF</t>
        </is>
      </c>
      <c r="F32" s="126" t="inlineStr">
        <is>
          <t>OFF</t>
        </is>
      </c>
      <c r="G32" s="127" t="inlineStr">
        <is>
          <t>A</t>
        </is>
      </c>
      <c r="H32" s="127" t="inlineStr">
        <is>
          <t>A</t>
        </is>
      </c>
      <c r="I32" s="127" t="inlineStr">
        <is>
          <t>A</t>
        </is>
      </c>
      <c r="J32" s="299" t="n">
        <v>5</v>
      </c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9.5" customHeight="1" s="363">
      <c r="A33" s="301" t="n"/>
      <c r="B33" s="301" t="n"/>
      <c r="C33" s="301" t="n"/>
      <c r="D33" s="301" t="n"/>
      <c r="E33" s="301" t="n"/>
      <c r="F33" s="301" t="n"/>
      <c r="G33" s="301" t="n"/>
      <c r="H33" s="301" t="n"/>
      <c r="I33" s="301" t="n"/>
      <c r="J33" s="301" t="n"/>
      <c r="K33" s="301" t="n"/>
      <c r="L33" s="301" t="n"/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3.5" customHeight="1" s="363">
      <c r="A34" s="301" t="n"/>
      <c r="B34" s="301" t="n"/>
      <c r="C34" s="301" t="n"/>
      <c r="D34" s="301" t="n"/>
      <c r="E34" s="301" t="n"/>
      <c r="F34" s="301" t="n"/>
      <c r="G34" s="301" t="n"/>
      <c r="H34" s="301" t="n"/>
      <c r="I34" s="301" t="n"/>
      <c r="J34" s="301" t="n"/>
      <c r="K34" s="301" t="n"/>
      <c r="L34" s="301" t="n"/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363">
      <c r="A35" s="301" t="n"/>
      <c r="B35" s="301" t="n"/>
      <c r="C35" s="301" t="n"/>
      <c r="D35" s="301" t="n"/>
      <c r="E35" s="301" t="n"/>
      <c r="F35" s="301" t="n"/>
      <c r="G35" s="301" t="n"/>
      <c r="H35" s="301" t="n"/>
      <c r="I35" s="301" t="n"/>
      <c r="J35" s="301" t="n"/>
      <c r="K35" s="301" t="n"/>
      <c r="L35" s="301" t="n"/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21.75" customHeight="1" s="363">
      <c r="A36" s="435" t="inlineStr">
        <is>
          <t>DYNAMIC STAFFING MODEL  —  Demand-Adjusted Headcount  |  Core = Permanent (year-round)  |  Seasonal = Fixed-term (Apr–Oct)  |  Buffer: 20% above demand floor</t>
        </is>
      </c>
      <c r="B36" s="398" t="n"/>
      <c r="C36" s="398" t="n"/>
      <c r="D36" s="398" t="n"/>
      <c r="E36" s="398" t="n"/>
      <c r="F36" s="398" t="n"/>
      <c r="G36" s="398" t="n"/>
      <c r="H36" s="398" t="n"/>
      <c r="I36" s="398" t="n"/>
      <c r="J36" s="398" t="n"/>
      <c r="K36" s="398" t="n"/>
      <c r="L36" s="399" t="n"/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30" customHeight="1" s="363">
      <c r="A37" s="17" t="inlineStr">
        <is>
          <t>Month</t>
        </is>
      </c>
      <c r="B37" s="17" t="inlineStr">
        <is>
          <t>Revenue (€)</t>
        </is>
      </c>
      <c r="C37" s="17" t="inlineStr">
        <is>
          <t>35% Budget (€)</t>
        </is>
      </c>
      <c r="D37" s="17" t="inlineStr">
        <is>
          <t>Optimal T</t>
        </is>
      </c>
      <c r="E37" s="17" t="inlineStr">
        <is>
          <t>Core T</t>
        </is>
      </c>
      <c r="F37" s="17" t="inlineStr">
        <is>
          <t>Seasonal T</t>
        </is>
      </c>
      <c r="G37" s="17" t="inlineStr">
        <is>
          <t>Avg Tx /
Day / T</t>
        </is>
      </c>
      <c r="H37" s="17" t="inlineStr">
        <is>
          <t>Dynamic HC (€)</t>
        </is>
      </c>
      <c r="I37" s="17" t="inlineStr">
        <is>
          <t>Saving vs
Fixed (€)</t>
        </is>
      </c>
      <c r="J37" s="17" t="inlineStr">
        <is>
          <t>Status</t>
        </is>
      </c>
      <c r="K37" s="17" t="inlineStr">
        <is>
          <t># Core</t>
        </is>
      </c>
      <c r="L37" s="17" t="inlineStr">
        <is>
          <t># Seas</t>
        </is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91" t="inlineStr">
        <is>
          <t>Jan</t>
        </is>
      </c>
      <c r="B38" s="303" t="n">
        <v>38037</v>
      </c>
      <c r="C38" s="303" t="n">
        <v>13313</v>
      </c>
      <c r="D38" s="304" t="n">
        <v>5</v>
      </c>
      <c r="E38" s="304" t="n">
        <v>4</v>
      </c>
      <c r="F38" s="308" t="n">
        <v>1</v>
      </c>
      <c r="G38" s="309" t="n">
        <v>3.9</v>
      </c>
      <c r="H38" s="303" t="n">
        <v>14559</v>
      </c>
      <c r="I38" s="307" t="n">
        <v>6708</v>
      </c>
      <c r="J38" s="92" t="inlineStr">
        <is>
          <t>● ON CORE</t>
        </is>
      </c>
      <c r="K38" s="305" t="n">
        <v>4</v>
      </c>
      <c r="L38" s="107" t="n">
        <v>1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91" t="inlineStr">
        <is>
          <t>Feb</t>
        </is>
      </c>
      <c r="B39" s="303" t="n">
        <v>40414</v>
      </c>
      <c r="C39" s="303" t="n">
        <v>14145</v>
      </c>
      <c r="D39" s="304" t="n">
        <v>5</v>
      </c>
      <c r="E39" s="304" t="n">
        <v>4</v>
      </c>
      <c r="F39" s="308" t="n">
        <v>1</v>
      </c>
      <c r="G39" s="306" t="n">
        <v>4.1</v>
      </c>
      <c r="H39" s="303" t="n">
        <v>14691</v>
      </c>
      <c r="I39" s="307" t="n">
        <v>6708</v>
      </c>
      <c r="J39" s="92" t="inlineStr">
        <is>
          <t>● ON CORE</t>
        </is>
      </c>
      <c r="K39" s="305" t="n">
        <v>4</v>
      </c>
      <c r="L39" s="107" t="n">
        <v>1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91" t="inlineStr">
        <is>
          <t>Mar</t>
        </is>
      </c>
      <c r="B40" s="303" t="n">
        <v>42791</v>
      </c>
      <c r="C40" s="303" t="n">
        <v>14977</v>
      </c>
      <c r="D40" s="304" t="n">
        <v>6</v>
      </c>
      <c r="E40" s="304" t="n">
        <v>4</v>
      </c>
      <c r="F40" s="308" t="n">
        <v>2</v>
      </c>
      <c r="G40" s="309" t="n">
        <v>3.7</v>
      </c>
      <c r="H40" s="303" t="n">
        <v>16501</v>
      </c>
      <c r="I40" s="307" t="n">
        <v>5031</v>
      </c>
      <c r="J40" s="92" t="inlineStr">
        <is>
          <t>● ON CORE</t>
        </is>
      </c>
      <c r="K40" s="305" t="n">
        <v>4</v>
      </c>
      <c r="L40" s="107" t="n">
        <v>2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310" t="inlineStr">
        <is>
          <t>Apr</t>
        </is>
      </c>
      <c r="B41" s="311" t="n">
        <v>45169</v>
      </c>
      <c r="C41" s="311" t="n">
        <v>15809</v>
      </c>
      <c r="D41" s="312" t="n">
        <v>6</v>
      </c>
      <c r="E41" s="304" t="n">
        <v>4</v>
      </c>
      <c r="F41" s="308" t="n">
        <v>2</v>
      </c>
      <c r="G41" s="313" t="n">
        <v>3.9</v>
      </c>
      <c r="H41" s="311" t="n">
        <v>16634</v>
      </c>
      <c r="I41" s="307" t="n">
        <v>5031</v>
      </c>
      <c r="J41" s="93" t="inlineStr">
        <is>
          <t>▲ SEASONAL ACTIVE</t>
        </is>
      </c>
      <c r="K41" s="305" t="n">
        <v>4</v>
      </c>
      <c r="L41" s="107" t="n">
        <v>2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310" t="inlineStr">
        <is>
          <t>May</t>
        </is>
      </c>
      <c r="B42" s="311" t="n">
        <v>47546</v>
      </c>
      <c r="C42" s="311" t="n">
        <v>16641</v>
      </c>
      <c r="D42" s="312" t="n">
        <v>6</v>
      </c>
      <c r="E42" s="304" t="n">
        <v>4</v>
      </c>
      <c r="F42" s="308" t="n">
        <v>2</v>
      </c>
      <c r="G42" s="306" t="n">
        <v>4.1</v>
      </c>
      <c r="H42" s="311" t="n">
        <v>16766</v>
      </c>
      <c r="I42" s="307" t="n">
        <v>5031</v>
      </c>
      <c r="J42" s="93" t="inlineStr">
        <is>
          <t>▲ SEASONAL ACTIVE</t>
        </is>
      </c>
      <c r="K42" s="305" t="n">
        <v>4</v>
      </c>
      <c r="L42" s="107" t="n">
        <v>2</v>
      </c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18" customHeight="1" s="363">
      <c r="A43" s="310" t="inlineStr">
        <is>
          <t>Jun</t>
        </is>
      </c>
      <c r="B43" s="311" t="n">
        <v>52301</v>
      </c>
      <c r="C43" s="311" t="n">
        <v>18305</v>
      </c>
      <c r="D43" s="312" t="n">
        <v>7</v>
      </c>
      <c r="E43" s="304" t="n">
        <v>4</v>
      </c>
      <c r="F43" s="308" t="n">
        <v>3</v>
      </c>
      <c r="G43" s="313" t="n">
        <v>3.8</v>
      </c>
      <c r="H43" s="311" t="n">
        <v>18708</v>
      </c>
      <c r="I43" s="307" t="n">
        <v>3354</v>
      </c>
      <c r="J43" s="93" t="inlineStr">
        <is>
          <t>▲ SEASONAL ACTIVE</t>
        </is>
      </c>
      <c r="K43" s="305" t="n">
        <v>4</v>
      </c>
      <c r="L43" s="107" t="n">
        <v>3</v>
      </c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18" customHeight="1" s="363">
      <c r="A44" s="310" t="inlineStr">
        <is>
          <t>Jul</t>
        </is>
      </c>
      <c r="B44" s="311" t="n">
        <v>57055</v>
      </c>
      <c r="C44" s="311" t="n">
        <v>19969</v>
      </c>
      <c r="D44" s="312" t="n">
        <v>7</v>
      </c>
      <c r="E44" s="304" t="n">
        <v>4</v>
      </c>
      <c r="F44" s="308" t="n">
        <v>3</v>
      </c>
      <c r="G44" s="306" t="n">
        <v>4.2</v>
      </c>
      <c r="H44" s="311" t="n">
        <v>18973</v>
      </c>
      <c r="I44" s="307" t="n">
        <v>3354</v>
      </c>
      <c r="J44" s="93" t="inlineStr">
        <is>
          <t>▲ SEASONAL ACTIVE</t>
        </is>
      </c>
      <c r="K44" s="305" t="n">
        <v>4</v>
      </c>
      <c r="L44" s="107" t="n">
        <v>3</v>
      </c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18" customHeight="1" s="363">
      <c r="A45" s="310" t="inlineStr">
        <is>
          <t>Aug</t>
        </is>
      </c>
      <c r="B45" s="311" t="n">
        <v>59432</v>
      </c>
      <c r="C45" s="311" t="n">
        <v>20801</v>
      </c>
      <c r="D45" s="312" t="n">
        <v>8</v>
      </c>
      <c r="E45" s="304" t="n">
        <v>4</v>
      </c>
      <c r="F45" s="308" t="n">
        <v>4</v>
      </c>
      <c r="G45" s="313" t="n">
        <v>3.8</v>
      </c>
      <c r="H45" s="311" t="n">
        <v>20782</v>
      </c>
      <c r="I45" s="307" t="n">
        <v>1677</v>
      </c>
      <c r="J45" s="93" t="inlineStr">
        <is>
          <t>▲ SEASONAL ACTIVE</t>
        </is>
      </c>
      <c r="K45" s="305" t="n">
        <v>4</v>
      </c>
      <c r="L45" s="107" t="n">
        <v>4</v>
      </c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18" customHeight="1" s="363">
      <c r="A46" s="310" t="inlineStr">
        <is>
          <t>Sep</t>
        </is>
      </c>
      <c r="B46" s="311" t="n">
        <v>52301</v>
      </c>
      <c r="C46" s="311" t="n">
        <v>18305</v>
      </c>
      <c r="D46" s="312" t="n">
        <v>7</v>
      </c>
      <c r="E46" s="304" t="n">
        <v>4</v>
      </c>
      <c r="F46" s="308" t="n">
        <v>3</v>
      </c>
      <c r="G46" s="313" t="n">
        <v>3.8</v>
      </c>
      <c r="H46" s="311" t="n">
        <v>18708</v>
      </c>
      <c r="I46" s="307" t="n">
        <v>3354</v>
      </c>
      <c r="J46" s="93" t="inlineStr">
        <is>
          <t>▲ SEASONAL ACTIVE</t>
        </is>
      </c>
      <c r="K46" s="305" t="n">
        <v>4</v>
      </c>
      <c r="L46" s="107" t="n">
        <v>3</v>
      </c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18" customHeight="1" s="363">
      <c r="A47" s="310" t="inlineStr">
        <is>
          <t>Oct</t>
        </is>
      </c>
      <c r="B47" s="311" t="n">
        <v>47546</v>
      </c>
      <c r="C47" s="311" t="n">
        <v>16641</v>
      </c>
      <c r="D47" s="312" t="n">
        <v>6</v>
      </c>
      <c r="E47" s="304" t="n">
        <v>4</v>
      </c>
      <c r="F47" s="308" t="n">
        <v>2</v>
      </c>
      <c r="G47" s="306" t="n">
        <v>4.1</v>
      </c>
      <c r="H47" s="311" t="n">
        <v>16766</v>
      </c>
      <c r="I47" s="307" t="n">
        <v>5031</v>
      </c>
      <c r="J47" s="93" t="inlineStr">
        <is>
          <t>▲ SEASONAL ACTIVE</t>
        </is>
      </c>
      <c r="K47" s="305" t="n">
        <v>4</v>
      </c>
      <c r="L47" s="107" t="n">
        <v>2</v>
      </c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363">
      <c r="A48" s="91" t="inlineStr">
        <is>
          <t>Nov</t>
        </is>
      </c>
      <c r="B48" s="303" t="n">
        <v>42791</v>
      </c>
      <c r="C48" s="303" t="n">
        <v>14977</v>
      </c>
      <c r="D48" s="304" t="n">
        <v>6</v>
      </c>
      <c r="E48" s="304" t="n">
        <v>4</v>
      </c>
      <c r="F48" s="308" t="n">
        <v>2</v>
      </c>
      <c r="G48" s="309" t="n">
        <v>3.7</v>
      </c>
      <c r="H48" s="303" t="n">
        <v>16501</v>
      </c>
      <c r="I48" s="307" t="n">
        <v>5031</v>
      </c>
      <c r="J48" s="92" t="inlineStr">
        <is>
          <t>● ON CORE</t>
        </is>
      </c>
      <c r="K48" s="305" t="n">
        <v>4</v>
      </c>
      <c r="L48" s="107" t="n">
        <v>2</v>
      </c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363">
      <c r="A49" s="91" t="inlineStr">
        <is>
          <t>Dec</t>
        </is>
      </c>
      <c r="B49" s="303" t="n">
        <v>45169</v>
      </c>
      <c r="C49" s="303" t="n">
        <v>15809</v>
      </c>
      <c r="D49" s="304" t="n">
        <v>6</v>
      </c>
      <c r="E49" s="304" t="n">
        <v>4</v>
      </c>
      <c r="F49" s="308" t="n">
        <v>2</v>
      </c>
      <c r="G49" s="309" t="n">
        <v>3.9</v>
      </c>
      <c r="H49" s="303" t="n">
        <v>16634</v>
      </c>
      <c r="I49" s="307" t="n">
        <v>5031</v>
      </c>
      <c r="J49" s="92" t="inlineStr">
        <is>
          <t>● ON CORE</t>
        </is>
      </c>
      <c r="K49" s="305" t="n">
        <v>4</v>
      </c>
      <c r="L49" s="107" t="n">
        <v>2</v>
      </c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21.75" customHeight="1" s="363">
      <c r="A50" s="9" t="inlineStr">
        <is>
          <t>ANNUAL TOTAL</t>
        </is>
      </c>
      <c r="B50" s="55" t="n">
        <v>570552</v>
      </c>
      <c r="C50" s="55" t="n">
        <v>199692</v>
      </c>
      <c r="D50" s="314" t="n"/>
      <c r="E50" s="314" t="n"/>
      <c r="F50" s="314" t="n"/>
      <c r="G50" s="314" t="n"/>
      <c r="H50" s="55" t="n">
        <v>206223</v>
      </c>
      <c r="I50" s="307" t="n">
        <v>55341</v>
      </c>
      <c r="J50" s="314" t="n"/>
      <c r="K50" s="314" t="n"/>
      <c r="L50" s="314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21.75" customHeight="1" s="363">
      <c r="A51" s="301" t="n"/>
      <c r="B51" s="301" t="n"/>
      <c r="C51" s="301" t="n"/>
      <c r="D51" s="301" t="n"/>
      <c r="E51" s="301" t="n"/>
      <c r="F51" s="301" t="n"/>
      <c r="G51" s="301" t="n"/>
      <c r="H51" s="301" t="n"/>
      <c r="I51" s="301" t="n"/>
      <c r="J51" s="301" t="n"/>
      <c r="K51" s="301" t="n"/>
      <c r="L51" s="301" t="n"/>
      <c r="M51" s="301" t="n"/>
      <c r="N51" s="301" t="n"/>
      <c r="O51" s="301" t="n"/>
      <c r="P51" s="301" t="n"/>
      <c r="Q51" s="301" t="n"/>
      <c r="R51" s="301" t="n"/>
      <c r="S51" s="301" t="n"/>
      <c r="T51" s="7" t="n"/>
      <c r="U51" s="7" t="n"/>
      <c r="V51" s="7" t="n"/>
      <c r="W51" s="7" t="n"/>
      <c r="X51" s="7" t="n"/>
      <c r="Y51" s="7" t="n"/>
      <c r="Z51" s="7" t="n"/>
    </row>
    <row r="52" ht="19.5" customHeight="1" s="363">
      <c r="A52" s="436" t="inlineStr">
        <is>
          <t>SEASONAL STAFF ROSTER  —  Core = permanent contract  |  Seasonal = fixed-term Apr–Oct</t>
        </is>
      </c>
      <c r="B52" s="398" t="n"/>
      <c r="C52" s="398" t="n"/>
      <c r="D52" s="398" t="n"/>
      <c r="E52" s="398" t="n"/>
      <c r="F52" s="398" t="n"/>
      <c r="G52" s="398" t="n"/>
      <c r="H52" s="398" t="n"/>
      <c r="I52" s="398" t="n"/>
      <c r="J52" s="398" t="n"/>
      <c r="K52" s="398" t="n"/>
      <c r="L52" s="399" t="n"/>
      <c r="M52" s="301" t="n"/>
      <c r="N52" s="301" t="n"/>
      <c r="O52" s="301" t="n"/>
      <c r="P52" s="301" t="n"/>
      <c r="Q52" s="301" t="n"/>
      <c r="R52" s="301" t="n"/>
      <c r="S52" s="301" t="n"/>
      <c r="T52" s="7" t="n"/>
      <c r="U52" s="7" t="n"/>
      <c r="V52" s="7" t="n"/>
      <c r="W52" s="7" t="n"/>
      <c r="X52" s="7" t="n"/>
      <c r="Y52" s="7" t="n"/>
      <c r="Z52" s="7" t="n"/>
    </row>
    <row r="53" ht="19.5" customHeight="1" s="363">
      <c r="A53" s="103" t="inlineStr">
        <is>
          <t>Name</t>
        </is>
      </c>
      <c r="B53" s="103" t="inlineStr">
        <is>
          <t>Contract Type</t>
        </is>
      </c>
      <c r="C53" s="103" t="inlineStr">
        <is>
          <t>Active</t>
        </is>
      </c>
      <c r="D53" s="103" t="inlineStr">
        <is>
          <t>Notes</t>
        </is>
      </c>
      <c r="E53" s="316" t="n"/>
      <c r="F53" s="316" t="n"/>
      <c r="G53" s="316" t="n"/>
      <c r="H53" s="316" t="n"/>
      <c r="I53" s="316" t="n"/>
      <c r="J53" s="316" t="n"/>
      <c r="K53" s="316" t="n"/>
      <c r="L53" s="316" t="n"/>
      <c r="M53" s="301" t="n"/>
      <c r="N53" s="301" t="n"/>
      <c r="O53" s="301" t="n"/>
      <c r="P53" s="301" t="n"/>
      <c r="Q53" s="301" t="n"/>
      <c r="R53" s="301" t="n"/>
      <c r="S53" s="301" t="n"/>
      <c r="T53" s="7" t="n"/>
      <c r="U53" s="7" t="n"/>
      <c r="V53" s="7" t="n"/>
      <c r="W53" s="7" t="n"/>
      <c r="X53" s="7" t="n"/>
      <c r="Y53" s="7" t="n"/>
      <c r="Z53" s="7" t="n"/>
    </row>
    <row r="54" ht="18" customHeight="1" s="363">
      <c r="A54" s="91" t="inlineStr">
        <is>
          <t>T1 — Lucia</t>
        </is>
      </c>
      <c r="B54" s="317" t="inlineStr">
        <is>
          <t>Permanent</t>
        </is>
      </c>
      <c r="C54" s="317" t="inlineStr">
        <is>
          <t>Year-round</t>
        </is>
      </c>
      <c r="D54" s="318" t="inlineStr">
        <is>
          <t>Core team</t>
        </is>
      </c>
      <c r="E54" s="319" t="n"/>
      <c r="F54" s="319" t="n"/>
      <c r="G54" s="319" t="n"/>
      <c r="H54" s="319" t="n"/>
      <c r="I54" s="319" t="n"/>
      <c r="J54" s="319" t="n"/>
      <c r="K54" s="319" t="n"/>
      <c r="L54" s="319" t="n"/>
      <c r="M54" s="301" t="n"/>
      <c r="N54" s="301" t="n"/>
      <c r="O54" s="301" t="n"/>
      <c r="P54" s="301" t="n"/>
      <c r="Q54" s="301" t="n"/>
      <c r="R54" s="301" t="n"/>
      <c r="S54" s="301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91" t="inlineStr">
        <is>
          <t>T2 — Amara</t>
        </is>
      </c>
      <c r="B55" s="317" t="inlineStr">
        <is>
          <t>Permanent</t>
        </is>
      </c>
      <c r="C55" s="317" t="inlineStr">
        <is>
          <t>Year-round</t>
        </is>
      </c>
      <c r="D55" s="318" t="inlineStr">
        <is>
          <t>Core team</t>
        </is>
      </c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01" t="n"/>
      <c r="N55" s="301" t="n"/>
      <c r="O55" s="301" t="n"/>
      <c r="P55" s="301" t="n"/>
      <c r="Q55" s="301" t="n"/>
      <c r="R55" s="301" t="n"/>
      <c r="S55" s="301" t="n"/>
      <c r="T55" s="7" t="n"/>
      <c r="U55" s="7" t="n"/>
      <c r="V55" s="7" t="n"/>
      <c r="W55" s="7" t="n"/>
      <c r="X55" s="7" t="n"/>
      <c r="Y55" s="7" t="n"/>
      <c r="Z55" s="7" t="n"/>
    </row>
    <row r="56" ht="18" customHeight="1" s="363">
      <c r="A56" s="91" t="inlineStr">
        <is>
          <t>T3 — Valentina</t>
        </is>
      </c>
      <c r="B56" s="317" t="inlineStr">
        <is>
          <t>Permanent</t>
        </is>
      </c>
      <c r="C56" s="317" t="inlineStr">
        <is>
          <t>Year-round</t>
        </is>
      </c>
      <c r="D56" s="318" t="inlineStr">
        <is>
          <t>Core team</t>
        </is>
      </c>
      <c r="E56" s="319" t="n"/>
      <c r="F56" s="319" t="n"/>
      <c r="G56" s="319" t="n"/>
      <c r="H56" s="319" t="n"/>
      <c r="I56" s="319" t="n"/>
      <c r="J56" s="319" t="n"/>
      <c r="K56" s="319" t="n"/>
      <c r="L56" s="319" t="n"/>
      <c r="M56" s="301" t="n"/>
      <c r="N56" s="301" t="n"/>
      <c r="O56" s="301" t="n"/>
      <c r="P56" s="301" t="n"/>
      <c r="Q56" s="301" t="n"/>
      <c r="R56" s="301" t="n"/>
      <c r="S56" s="301" t="n"/>
      <c r="T56" s="7" t="n"/>
      <c r="U56" s="7" t="n"/>
      <c r="V56" s="7" t="n"/>
      <c r="W56" s="7" t="n"/>
      <c r="X56" s="7" t="n"/>
      <c r="Y56" s="7" t="n"/>
      <c r="Z56" s="7" t="n"/>
    </row>
    <row r="57" ht="18" customHeight="1" s="363">
      <c r="A57" s="91" t="inlineStr">
        <is>
          <t>T4 — Hana</t>
        </is>
      </c>
      <c r="B57" s="317" t="inlineStr">
        <is>
          <t>Permanent</t>
        </is>
      </c>
      <c r="C57" s="317" t="inlineStr">
        <is>
          <t>Year-round</t>
        </is>
      </c>
      <c r="D57" s="318" t="inlineStr">
        <is>
          <t>Core team</t>
        </is>
      </c>
      <c r="E57" s="319" t="n"/>
      <c r="F57" s="319" t="n"/>
      <c r="G57" s="319" t="n"/>
      <c r="H57" s="319" t="n"/>
      <c r="I57" s="319" t="n"/>
      <c r="J57" s="319" t="n"/>
      <c r="K57" s="319" t="n"/>
      <c r="L57" s="319" t="n"/>
      <c r="M57" s="301" t="n"/>
      <c r="N57" s="301" t="n"/>
      <c r="O57" s="301" t="n"/>
      <c r="P57" s="301" t="n"/>
      <c r="Q57" s="301" t="n"/>
      <c r="R57" s="301" t="n"/>
      <c r="S57" s="301" t="n"/>
      <c r="T57" s="7" t="n"/>
      <c r="U57" s="7" t="n"/>
      <c r="V57" s="7" t="n"/>
      <c r="W57" s="7" t="n"/>
      <c r="X57" s="7" t="n"/>
      <c r="Y57" s="7" t="n"/>
      <c r="Z57" s="7" t="n"/>
    </row>
    <row r="58" ht="18" customHeight="1" s="363">
      <c r="A58" s="320" t="inlineStr">
        <is>
          <t>T5 — Renata (seasonal)</t>
        </is>
      </c>
      <c r="B58" s="321" t="inlineStr">
        <is>
          <t>Fixed-term seasonal</t>
        </is>
      </c>
      <c r="C58" s="321" t="inlineStr">
        <is>
          <t>Apr 1 – Oct 31</t>
        </is>
      </c>
      <c r="D58" s="322" t="inlineStr">
        <is>
          <t>Recruit by Feb 15</t>
        </is>
      </c>
      <c r="E58" s="323" t="n"/>
      <c r="F58" s="323" t="n"/>
      <c r="G58" s="323" t="n"/>
      <c r="H58" s="323" t="n"/>
      <c r="I58" s="323" t="n"/>
      <c r="J58" s="323" t="n"/>
      <c r="K58" s="323" t="n"/>
      <c r="L58" s="323" t="n"/>
      <c r="M58" s="301" t="n"/>
      <c r="N58" s="301" t="n"/>
      <c r="O58" s="301" t="n"/>
      <c r="P58" s="301" t="n"/>
      <c r="Q58" s="301" t="n"/>
      <c r="R58" s="301" t="n"/>
      <c r="S58" s="301" t="n"/>
      <c r="T58" s="7" t="n"/>
      <c r="U58" s="7" t="n"/>
      <c r="V58" s="7" t="n"/>
      <c r="W58" s="7" t="n"/>
      <c r="X58" s="7" t="n"/>
      <c r="Y58" s="7" t="n"/>
      <c r="Z58" s="7" t="n"/>
    </row>
    <row r="59" ht="18" customHeight="1" s="363">
      <c r="A59" s="320" t="inlineStr">
        <is>
          <t>T6 — Zara (seasonal)</t>
        </is>
      </c>
      <c r="B59" s="321" t="inlineStr">
        <is>
          <t>Fixed-term seasonal</t>
        </is>
      </c>
      <c r="C59" s="321" t="inlineStr">
        <is>
          <t>Apr 1 – Oct 31</t>
        </is>
      </c>
      <c r="D59" s="322" t="inlineStr">
        <is>
          <t>Recruit by Feb 15</t>
        </is>
      </c>
      <c r="E59" s="323" t="n"/>
      <c r="F59" s="323" t="n"/>
      <c r="G59" s="323" t="n"/>
      <c r="H59" s="323" t="n"/>
      <c r="I59" s="323" t="n"/>
      <c r="J59" s="323" t="n"/>
      <c r="K59" s="323" t="n"/>
      <c r="L59" s="323" t="n"/>
      <c r="M59" s="301" t="n"/>
      <c r="N59" s="301" t="n"/>
      <c r="O59" s="301" t="n"/>
      <c r="P59" s="301" t="n"/>
      <c r="Q59" s="301" t="n"/>
      <c r="R59" s="301" t="n"/>
      <c r="S59" s="301" t="n"/>
      <c r="T59" s="7" t="n"/>
      <c r="U59" s="7" t="n"/>
      <c r="V59" s="7" t="n"/>
      <c r="W59" s="7" t="n"/>
      <c r="X59" s="7" t="n"/>
      <c r="Y59" s="7" t="n"/>
      <c r="Z59" s="7" t="n"/>
    </row>
    <row r="60" ht="18" customHeight="1" s="363">
      <c r="A60" s="320" t="inlineStr">
        <is>
          <t>T7 — Fatima (seasonal)</t>
        </is>
      </c>
      <c r="B60" s="321" t="inlineStr">
        <is>
          <t>Fixed-term seasonal</t>
        </is>
      </c>
      <c r="C60" s="321" t="inlineStr">
        <is>
          <t>Apr 1 – Oct 31</t>
        </is>
      </c>
      <c r="D60" s="322" t="inlineStr">
        <is>
          <t>Recruit by Feb 15</t>
        </is>
      </c>
      <c r="E60" s="323" t="n"/>
      <c r="F60" s="323" t="n"/>
      <c r="G60" s="323" t="n"/>
      <c r="H60" s="323" t="n"/>
      <c r="I60" s="323" t="n"/>
      <c r="J60" s="323" t="n"/>
      <c r="K60" s="323" t="n"/>
      <c r="L60" s="323" t="n"/>
      <c r="M60" s="301" t="n"/>
      <c r="N60" s="301" t="n"/>
      <c r="O60" s="301" t="n"/>
      <c r="P60" s="301" t="n"/>
      <c r="Q60" s="301" t="n"/>
      <c r="R60" s="301" t="n"/>
      <c r="S60" s="301" t="n"/>
      <c r="T60" s="7" t="n"/>
      <c r="U60" s="7" t="n"/>
      <c r="V60" s="7" t="n"/>
      <c r="W60" s="7" t="n"/>
      <c r="X60" s="7" t="n"/>
      <c r="Y60" s="7" t="n"/>
      <c r="Z60" s="7" t="n"/>
    </row>
    <row r="61" ht="18" customHeight="1" s="363">
      <c r="A61" s="320" t="inlineStr">
        <is>
          <t>T8 — Ingrid (seasonal)</t>
        </is>
      </c>
      <c r="B61" s="321" t="inlineStr">
        <is>
          <t>Fixed-term seasonal</t>
        </is>
      </c>
      <c r="C61" s="321" t="inlineStr">
        <is>
          <t>Apr 1 – Oct 31</t>
        </is>
      </c>
      <c r="D61" s="322" t="inlineStr">
        <is>
          <t>Recruit by Feb 15</t>
        </is>
      </c>
      <c r="E61" s="323" t="n"/>
      <c r="F61" s="323" t="n"/>
      <c r="G61" s="323" t="n"/>
      <c r="H61" s="323" t="n"/>
      <c r="I61" s="323" t="n"/>
      <c r="J61" s="323" t="n"/>
      <c r="K61" s="323" t="n"/>
      <c r="L61" s="323" t="n"/>
      <c r="M61" s="301" t="n"/>
      <c r="N61" s="301" t="n"/>
      <c r="O61" s="301" t="n"/>
      <c r="P61" s="301" t="n"/>
      <c r="Q61" s="301" t="n"/>
      <c r="R61" s="301" t="n"/>
      <c r="S61" s="301" t="n"/>
      <c r="T61" s="7" t="n"/>
      <c r="U61" s="7" t="n"/>
      <c r="V61" s="7" t="n"/>
      <c r="W61" s="7" t="n"/>
      <c r="X61" s="7" t="n"/>
      <c r="Y61" s="7" t="n"/>
      <c r="Z61" s="7" t="n"/>
    </row>
    <row r="62" ht="18" customHeight="1" s="363">
      <c r="A62" s="301" t="n"/>
      <c r="B62" s="301" t="n"/>
      <c r="C62" s="301" t="n"/>
      <c r="D62" s="301" t="n"/>
      <c r="E62" s="301" t="n"/>
      <c r="F62" s="301" t="n"/>
      <c r="G62" s="301" t="n"/>
      <c r="H62" s="301" t="n"/>
      <c r="I62" s="301" t="n"/>
      <c r="J62" s="301" t="n"/>
      <c r="K62" s="301" t="n"/>
      <c r="L62" s="301" t="n"/>
      <c r="M62" s="301" t="n"/>
      <c r="N62" s="301" t="n"/>
      <c r="O62" s="301" t="n"/>
      <c r="P62" s="301" t="n"/>
      <c r="Q62" s="301" t="n"/>
      <c r="R62" s="301" t="n"/>
      <c r="S62" s="301" t="n"/>
      <c r="T62" s="7" t="n"/>
      <c r="U62" s="7" t="n"/>
      <c r="V62" s="7" t="n"/>
      <c r="W62" s="7" t="n"/>
      <c r="X62" s="7" t="n"/>
      <c r="Y62" s="7" t="n"/>
      <c r="Z62" s="7" t="n"/>
    </row>
    <row r="63" ht="21.75" customHeight="1" s="363">
      <c r="A63" s="262" t="inlineStr">
        <is>
          <t>T:R RATIO QC  —  THERAPIST · RECEPTION HC SPEND RECONCILIATION  |  Validates that cost allocation by role is within industry benchmarks</t>
        </is>
      </c>
      <c r="B63" s="398" t="n"/>
      <c r="C63" s="398" t="n"/>
      <c r="D63" s="398" t="n"/>
      <c r="E63" s="398" t="n"/>
      <c r="F63" s="398" t="n"/>
      <c r="G63" s="398" t="n"/>
      <c r="H63" s="398" t="n"/>
      <c r="I63" s="398" t="n"/>
      <c r="J63" s="398" t="n"/>
      <c r="K63" s="398" t="n"/>
      <c r="L63" s="399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30" customHeight="1" s="363">
      <c r="A64" s="17" t="inlineStr">
        <is>
          <t>Role / Category</t>
        </is>
      </c>
      <c r="B64" s="17" t="inlineStr">
        <is>
          <t>Avg Annual
FTEs</t>
        </is>
      </c>
      <c r="C64" s="17" t="inlineStr">
        <is>
          <t>Annual Cost (€)</t>
        </is>
      </c>
      <c r="D64" s="17" t="inlineStr">
        <is>
          <t>% of Total
Dynamic HC</t>
        </is>
      </c>
      <c r="E64" s="17" t="inlineStr">
        <is>
          <t>Industry
Benchmark</t>
        </is>
      </c>
      <c r="F64" s="17" t="inlineStr">
        <is>
          <t>QC Status</t>
        </is>
      </c>
      <c r="G64" s="324" t="n"/>
      <c r="H64" s="324" t="n"/>
      <c r="I64" s="324" t="n"/>
      <c r="J64" s="324" t="n"/>
      <c r="K64" s="324" t="n"/>
      <c r="L64" s="324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8" customHeight="1" s="363">
      <c r="A65" s="91" t="inlineStr">
        <is>
          <t>Therapists (T)</t>
        </is>
      </c>
      <c r="B65" s="325" t="inlineStr">
        <is>
          <t>6.2</t>
        </is>
      </c>
      <c r="C65" s="303" t="n">
        <v>125775</v>
      </c>
      <c r="D65" s="326" t="n">
        <v>0.6098980230139218</v>
      </c>
      <c r="E65" s="327" t="inlineStr">
        <is>
          <t>60% – 85%</t>
        </is>
      </c>
      <c r="F65" s="328" t="inlineStr">
        <is>
          <t>✓  T = 61.0% of total HC</t>
        </is>
      </c>
      <c r="G65" s="329" t="n"/>
      <c r="H65" s="329" t="n"/>
      <c r="I65" s="329" t="n"/>
      <c r="J65" s="329" t="n"/>
      <c r="K65" s="329" t="n"/>
      <c r="L65" s="329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8" customHeight="1" s="363">
      <c r="A66" s="330" t="inlineStr">
        <is>
          <t>Reception (R)</t>
        </is>
      </c>
      <c r="B66" s="331" t="inlineStr">
        <is>
          <t>2</t>
        </is>
      </c>
      <c r="C66" s="28" t="n">
        <v>37560</v>
      </c>
      <c r="D66" s="326" t="n">
        <v>0.1821329337658748</v>
      </c>
      <c r="E66" s="332" t="inlineStr">
        <is>
          <t>7% – 20%</t>
        </is>
      </c>
      <c r="F66" s="328" t="inlineStr">
        <is>
          <t>✓  R = 18.2% of total HC</t>
        </is>
      </c>
      <c r="G66" s="333" t="n"/>
      <c r="H66" s="333" t="n"/>
      <c r="I66" s="333" t="n"/>
      <c r="J66" s="333" t="n"/>
      <c r="K66" s="333" t="n"/>
      <c r="L66" s="333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8" customHeight="1" s="363">
      <c r="A67" s="334" t="inlineStr">
        <is>
          <t>Relationship Manager (RM)</t>
        </is>
      </c>
      <c r="B67" s="335" t="inlineStr">
        <is>
          <t>33% FTE</t>
        </is>
      </c>
      <c r="C67" s="336" t="n">
        <v>11064</v>
      </c>
      <c r="D67" s="326" t="n">
        <v>0.05365065972272734</v>
      </c>
      <c r="E67" s="337" t="inlineStr">
        <is>
          <t>3% – 10%</t>
        </is>
      </c>
      <c r="F67" s="328" t="inlineStr">
        <is>
          <t>✓  RM = 5.4% of total HC</t>
        </is>
      </c>
      <c r="G67" s="338" t="n"/>
      <c r="H67" s="338" t="n"/>
      <c r="I67" s="338" t="n"/>
      <c r="J67" s="338" t="n"/>
      <c r="K67" s="338" t="n"/>
      <c r="L67" s="338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8" customHeight="1" s="363">
      <c r="A68" s="339" t="inlineStr">
        <is>
          <t>Variable Commissions</t>
        </is>
      </c>
      <c r="B68" s="340" t="inlineStr">
        <is>
          <t>—</t>
        </is>
      </c>
      <c r="C68" s="341" t="n">
        <v>31824</v>
      </c>
      <c r="D68" s="342" t="n">
        <v>0.154318383497476</v>
      </c>
      <c r="E68" s="340" t="inlineStr">
        <is>
          <t>—</t>
        </is>
      </c>
      <c r="F68" s="339" t="inlineStr">
        <is>
          <t>Treatment + retail performance bonuses</t>
        </is>
      </c>
      <c r="G68" s="343" t="n"/>
      <c r="H68" s="343" t="n"/>
      <c r="I68" s="343" t="n"/>
      <c r="J68" s="343" t="n"/>
      <c r="K68" s="343" t="n"/>
      <c r="L68" s="343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21.75" customHeight="1" s="363">
      <c r="A69" s="262" t="inlineStr">
        <is>
          <t>TOTAL DYNAMIC HC</t>
        </is>
      </c>
      <c r="B69" s="344" t="inlineStr">
        <is>
          <t>—</t>
        </is>
      </c>
      <c r="C69" s="55" t="n">
        <v>206223</v>
      </c>
      <c r="D69" s="9" t="inlineStr">
        <is>
          <t>100.0%</t>
        </is>
      </c>
      <c r="E69" s="56" t="n"/>
      <c r="F69" s="56" t="n"/>
      <c r="G69" s="56" t="n"/>
      <c r="H69" s="56" t="n"/>
      <c r="I69" s="56" t="n"/>
      <c r="J69" s="56" t="n"/>
      <c r="K69" s="56" t="n"/>
      <c r="L69" s="56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9.5" customHeight="1" s="363">
      <c r="A70" s="345" t="inlineStr">
        <is>
          <t>T:R Headcount Ratio</t>
        </is>
      </c>
      <c r="B70" s="346" t="inlineStr">
        <is>
          <t>3.1 : 1</t>
        </is>
      </c>
      <c r="C70" s="347" t="inlineStr">
        <is>
          <t>Avg 6.2 therapists : 2 receptionist(s)</t>
        </is>
      </c>
      <c r="D70" s="306" t="n">
        <v>3.1</v>
      </c>
      <c r="E70" s="257" t="inlineStr">
        <is>
          <t>3:1 – 7:1</t>
        </is>
      </c>
      <c r="F70" s="328" t="inlineStr">
        <is>
          <t>✓  Ratio 3.1:1 — healthy</t>
        </is>
      </c>
      <c r="G70" s="324" t="n"/>
      <c r="H70" s="324" t="n"/>
      <c r="I70" s="324" t="n"/>
      <c r="J70" s="324" t="n"/>
      <c r="K70" s="324" t="n"/>
      <c r="L70" s="324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9.5" customHeight="1" s="363">
      <c r="A71" s="345" t="inlineStr">
        <is>
          <t>T:R Spend Ratio (€)</t>
        </is>
      </c>
      <c r="B71" s="346" t="inlineStr">
        <is>
          <t>3.3×</t>
        </is>
      </c>
      <c r="C71" s="347" t="inlineStr">
        <is>
          <t>For every €1 in reception cost, €3.3 spent on therapists</t>
        </is>
      </c>
      <c r="D71" s="306" t="n">
        <v>3.348642172523962</v>
      </c>
      <c r="E71" s="257" t="inlineStr">
        <is>
          <t>3× – 8×</t>
        </is>
      </c>
      <c r="F71" s="328" t="inlineStr">
        <is>
          <t>✓  Spend ratio 3.3× — healthy</t>
        </is>
      </c>
      <c r="G71" s="324" t="n"/>
      <c r="H71" s="324" t="n"/>
      <c r="I71" s="324" t="n"/>
      <c r="J71" s="324" t="n"/>
      <c r="K71" s="324" t="n"/>
      <c r="L71" s="324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8">
    <mergeCell ref="A1:J1"/>
    <mergeCell ref="A72:L72"/>
    <mergeCell ref="A52:L52"/>
    <mergeCell ref="A63:L63"/>
    <mergeCell ref="A36:L36"/>
    <mergeCell ref="A4:J4"/>
    <mergeCell ref="A20:J20"/>
    <mergeCell ref="A2:J2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RAMLA BAY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€358,632  |  Monthly avg: €29,886  |  Receptionists: 2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23909</v>
      </c>
      <c r="C6" s="54" t="n">
        <v>9564</v>
      </c>
      <c r="D6" s="54" t="n">
        <v>5382</v>
      </c>
      <c r="E6" s="29" t="n">
        <v>2</v>
      </c>
      <c r="F6" s="54" t="n">
        <v>3130</v>
      </c>
      <c r="G6" s="29" t="n">
        <v>2</v>
      </c>
      <c r="H6" s="54" t="n">
        <v>1052</v>
      </c>
      <c r="I6" s="54" t="n">
        <v>0</v>
      </c>
      <c r="J6" s="54" t="n">
        <v>9564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25403</v>
      </c>
      <c r="C7" s="289" t="n">
        <v>10161</v>
      </c>
      <c r="D7" s="289" t="n">
        <v>5972</v>
      </c>
      <c r="E7" s="290" t="n">
        <v>2</v>
      </c>
      <c r="F7" s="289" t="n">
        <v>3130</v>
      </c>
      <c r="G7" s="290" t="n">
        <v>2</v>
      </c>
      <c r="H7" s="289" t="n">
        <v>1059</v>
      </c>
      <c r="I7" s="289" t="n">
        <v>0</v>
      </c>
      <c r="J7" s="289" t="n">
        <v>10161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26897</v>
      </c>
      <c r="C8" s="54" t="n">
        <v>10759</v>
      </c>
      <c r="D8" s="54" t="n">
        <v>6563</v>
      </c>
      <c r="E8" s="29" t="n">
        <v>3</v>
      </c>
      <c r="F8" s="54" t="n">
        <v>3130</v>
      </c>
      <c r="G8" s="29" t="n">
        <v>2</v>
      </c>
      <c r="H8" s="54" t="n">
        <v>1066</v>
      </c>
      <c r="I8" s="54" t="n">
        <v>0</v>
      </c>
      <c r="J8" s="54" t="n">
        <v>10759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28392</v>
      </c>
      <c r="C9" s="289" t="n">
        <v>11357</v>
      </c>
      <c r="D9" s="289" t="n">
        <v>7153</v>
      </c>
      <c r="E9" s="290" t="n">
        <v>3</v>
      </c>
      <c r="F9" s="289" t="n">
        <v>3130</v>
      </c>
      <c r="G9" s="290" t="n">
        <v>2</v>
      </c>
      <c r="H9" s="289" t="n">
        <v>1074</v>
      </c>
      <c r="I9" s="289" t="n">
        <v>0</v>
      </c>
      <c r="J9" s="289" t="n">
        <v>11357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29886</v>
      </c>
      <c r="C10" s="54" t="n">
        <v>11954</v>
      </c>
      <c r="D10" s="54" t="n">
        <v>7743</v>
      </c>
      <c r="E10" s="29" t="n">
        <v>3</v>
      </c>
      <c r="F10" s="54" t="n">
        <v>3130</v>
      </c>
      <c r="G10" s="29" t="n">
        <v>2</v>
      </c>
      <c r="H10" s="54" t="n">
        <v>1081</v>
      </c>
      <c r="I10" s="54" t="n">
        <v>0</v>
      </c>
      <c r="J10" s="54" t="n">
        <v>11954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32875</v>
      </c>
      <c r="C11" s="289" t="n">
        <v>13150</v>
      </c>
      <c r="D11" s="289" t="n">
        <v>8924</v>
      </c>
      <c r="E11" s="290" t="n">
        <v>4</v>
      </c>
      <c r="F11" s="289" t="n">
        <v>3130</v>
      </c>
      <c r="G11" s="290" t="n">
        <v>2</v>
      </c>
      <c r="H11" s="289" t="n">
        <v>1096</v>
      </c>
      <c r="I11" s="289" t="n">
        <v>0</v>
      </c>
      <c r="J11" s="289" t="n">
        <v>13150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35863</v>
      </c>
      <c r="C12" s="54" t="n">
        <v>14345</v>
      </c>
      <c r="D12" s="54" t="n">
        <v>10104</v>
      </c>
      <c r="E12" s="29" t="n">
        <v>4</v>
      </c>
      <c r="F12" s="54" t="n">
        <v>3130</v>
      </c>
      <c r="G12" s="29" t="n">
        <v>2</v>
      </c>
      <c r="H12" s="54" t="n">
        <v>1111</v>
      </c>
      <c r="I12" s="54" t="n">
        <v>0</v>
      </c>
      <c r="J12" s="54" t="n">
        <v>14345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37358</v>
      </c>
      <c r="C13" s="289" t="n">
        <v>14943</v>
      </c>
      <c r="D13" s="289" t="n">
        <v>10694</v>
      </c>
      <c r="E13" s="290" t="n">
        <v>5</v>
      </c>
      <c r="F13" s="289" t="n">
        <v>3130</v>
      </c>
      <c r="G13" s="290" t="n">
        <v>2</v>
      </c>
      <c r="H13" s="289" t="n">
        <v>1119</v>
      </c>
      <c r="I13" s="289" t="n">
        <v>0</v>
      </c>
      <c r="J13" s="289" t="n">
        <v>14943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32875</v>
      </c>
      <c r="C14" s="54" t="n">
        <v>13150</v>
      </c>
      <c r="D14" s="54" t="n">
        <v>8924</v>
      </c>
      <c r="E14" s="29" t="n">
        <v>4</v>
      </c>
      <c r="F14" s="54" t="n">
        <v>3130</v>
      </c>
      <c r="G14" s="29" t="n">
        <v>2</v>
      </c>
      <c r="H14" s="54" t="n">
        <v>1096</v>
      </c>
      <c r="I14" s="54" t="n">
        <v>0</v>
      </c>
      <c r="J14" s="54" t="n">
        <v>13150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29886</v>
      </c>
      <c r="C15" s="289" t="n">
        <v>11954</v>
      </c>
      <c r="D15" s="289" t="n">
        <v>7743</v>
      </c>
      <c r="E15" s="290" t="n">
        <v>3</v>
      </c>
      <c r="F15" s="289" t="n">
        <v>3130</v>
      </c>
      <c r="G15" s="290" t="n">
        <v>2</v>
      </c>
      <c r="H15" s="289" t="n">
        <v>1081</v>
      </c>
      <c r="I15" s="289" t="n">
        <v>0</v>
      </c>
      <c r="J15" s="289" t="n">
        <v>11954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26897</v>
      </c>
      <c r="C16" s="54" t="n">
        <v>10759</v>
      </c>
      <c r="D16" s="54" t="n">
        <v>6563</v>
      </c>
      <c r="E16" s="29" t="n">
        <v>3</v>
      </c>
      <c r="F16" s="54" t="n">
        <v>3130</v>
      </c>
      <c r="G16" s="29" t="n">
        <v>2</v>
      </c>
      <c r="H16" s="54" t="n">
        <v>1066</v>
      </c>
      <c r="I16" s="54" t="n">
        <v>0</v>
      </c>
      <c r="J16" s="54" t="n">
        <v>10759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28392</v>
      </c>
      <c r="C17" s="289" t="n">
        <v>11357</v>
      </c>
      <c r="D17" s="289" t="n">
        <v>7153</v>
      </c>
      <c r="E17" s="290" t="n">
        <v>3</v>
      </c>
      <c r="F17" s="289" t="n">
        <v>3130</v>
      </c>
      <c r="G17" s="290" t="n">
        <v>2</v>
      </c>
      <c r="H17" s="289" t="n">
        <v>1074</v>
      </c>
      <c r="I17" s="289" t="n">
        <v>0</v>
      </c>
      <c r="J17" s="289" t="n">
        <v>11357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358633</v>
      </c>
      <c r="C18" s="292" t="n">
        <v>143453</v>
      </c>
      <c r="D18" s="292" t="n">
        <v>92918</v>
      </c>
      <c r="E18" s="293" t="n"/>
      <c r="F18" s="292" t="n">
        <v>37560</v>
      </c>
      <c r="G18" s="293" t="n">
        <v>2</v>
      </c>
      <c r="H18" s="292" t="n">
        <v>12975</v>
      </c>
      <c r="I18" s="292" t="n">
        <v>0</v>
      </c>
      <c r="J18" s="292" t="n">
        <v>143453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Maria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27" t="inlineStr">
        <is>
          <t>A</t>
        </is>
      </c>
      <c r="G22" s="127" t="inlineStr">
        <is>
          <t>A</t>
        </is>
      </c>
      <c r="H22" s="127" t="inlineStr">
        <is>
          <t>A</t>
        </is>
      </c>
      <c r="I22" s="127" t="inlineStr">
        <is>
          <t>A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Sofia</t>
        </is>
      </c>
      <c r="B23" s="300" t="inlineStr">
        <is>
          <t>Therapist</t>
        </is>
      </c>
      <c r="C23" s="126" t="inlineStr">
        <is>
          <t>OFF</t>
        </is>
      </c>
      <c r="D23" s="126" t="inlineStr">
        <is>
          <t>OFF</t>
        </is>
      </c>
      <c r="E23" s="137" t="inlineStr">
        <is>
          <t>B</t>
        </is>
      </c>
      <c r="F23" s="137" t="inlineStr">
        <is>
          <t>B</t>
        </is>
      </c>
      <c r="G23" s="137" t="inlineStr">
        <is>
          <t>B</t>
        </is>
      </c>
      <c r="H23" s="127" t="inlineStr">
        <is>
          <t>A</t>
        </is>
      </c>
      <c r="I23" s="137" t="inlineStr">
        <is>
          <t>B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T3 — Elena</t>
        </is>
      </c>
      <c r="B24" s="298" t="inlineStr">
        <is>
          <t>Therapist</t>
        </is>
      </c>
      <c r="C24" s="127" t="inlineStr">
        <is>
          <t>A</t>
        </is>
      </c>
      <c r="D24" s="126" t="inlineStr">
        <is>
          <t>OFF</t>
        </is>
      </c>
      <c r="E24" s="126" t="inlineStr">
        <is>
          <t>OFF</t>
        </is>
      </c>
      <c r="F24" s="127" t="inlineStr">
        <is>
          <t>A</t>
        </is>
      </c>
      <c r="G24" s="127" t="inlineStr">
        <is>
          <t>A</t>
        </is>
      </c>
      <c r="H24" s="127" t="inlineStr">
        <is>
          <t>A</t>
        </is>
      </c>
      <c r="I24" s="127" t="inlineStr">
        <is>
          <t>A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162" t="inlineStr">
        <is>
          <t>T4 — Isabelle</t>
        </is>
      </c>
      <c r="B25" s="300" t="inlineStr">
        <is>
          <t>Therapist</t>
        </is>
      </c>
      <c r="C25" s="137" t="inlineStr">
        <is>
          <t>B</t>
        </is>
      </c>
      <c r="D25" s="127" t="inlineStr">
        <is>
          <t>A</t>
        </is>
      </c>
      <c r="E25" s="126" t="inlineStr">
        <is>
          <t>OFF</t>
        </is>
      </c>
      <c r="F25" s="126" t="inlineStr">
        <is>
          <t>OFF</t>
        </is>
      </c>
      <c r="G25" s="137" t="inlineStr">
        <is>
          <t>B</t>
        </is>
      </c>
      <c r="H25" s="127" t="inlineStr">
        <is>
          <t>A</t>
        </is>
      </c>
      <c r="I25" s="137" t="inlineStr">
        <is>
          <t>B</t>
        </is>
      </c>
      <c r="J25" s="299" t="n">
        <v>5</v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297" t="inlineStr">
        <is>
          <t>T5 — Natalia</t>
        </is>
      </c>
      <c r="B26" s="298" t="inlineStr">
        <is>
          <t>Therapist</t>
        </is>
      </c>
      <c r="C26" s="127" t="inlineStr">
        <is>
          <t>A</t>
        </is>
      </c>
      <c r="D26" s="137" t="inlineStr">
        <is>
          <t>B</t>
        </is>
      </c>
      <c r="E26" s="126" t="inlineStr">
        <is>
          <t>OFF</t>
        </is>
      </c>
      <c r="F26" s="126" t="inlineStr">
        <is>
          <t>OFF</t>
        </is>
      </c>
      <c r="G26" s="127" t="inlineStr">
        <is>
          <t>A</t>
        </is>
      </c>
      <c r="H26" s="137" t="inlineStr">
        <is>
          <t>B</t>
        </is>
      </c>
      <c r="I26" s="127" t="inlineStr">
        <is>
          <t>A</t>
        </is>
      </c>
      <c r="J26" s="299" t="n">
        <v>5</v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 s="363">
      <c r="A27" s="162" t="inlineStr">
        <is>
          <t>R1 — Claire</t>
        </is>
      </c>
      <c r="B27" s="300" t="inlineStr">
        <is>
          <t>Receptionist</t>
        </is>
      </c>
      <c r="C27" s="126" t="inlineStr">
        <is>
          <t>OFF</t>
        </is>
      </c>
      <c r="D27" s="126" t="inlineStr">
        <is>
          <t>OFF</t>
        </is>
      </c>
      <c r="E27" s="127" t="inlineStr">
        <is>
          <t>A</t>
        </is>
      </c>
      <c r="F27" s="127" t="inlineStr">
        <is>
          <t>A</t>
        </is>
      </c>
      <c r="G27" s="127" t="inlineStr">
        <is>
          <t>A</t>
        </is>
      </c>
      <c r="H27" s="127" t="inlineStr">
        <is>
          <t>A</t>
        </is>
      </c>
      <c r="I27" s="127" t="inlineStr">
        <is>
          <t>A</t>
        </is>
      </c>
      <c r="J27" s="299" t="n">
        <v>5</v>
      </c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9.5" customHeight="1" s="363">
      <c r="A28" s="297" t="inlineStr">
        <is>
          <t>R2 — Yasmine</t>
        </is>
      </c>
      <c r="B28" s="298" t="inlineStr">
        <is>
          <t>Receptionist</t>
        </is>
      </c>
      <c r="C28" s="127" t="inlineStr">
        <is>
          <t>A</t>
        </is>
      </c>
      <c r="D28" s="127" t="inlineStr">
        <is>
          <t>A</t>
        </is>
      </c>
      <c r="E28" s="126" t="inlineStr">
        <is>
          <t>OFF</t>
        </is>
      </c>
      <c r="F28" s="126" t="inlineStr">
        <is>
          <t>OFF</t>
        </is>
      </c>
      <c r="G28" s="127" t="inlineStr">
        <is>
          <t>A</t>
        </is>
      </c>
      <c r="H28" s="127" t="inlineStr">
        <is>
          <t>A</t>
        </is>
      </c>
      <c r="I28" s="127" t="inlineStr">
        <is>
          <t>A</t>
        </is>
      </c>
      <c r="J28" s="299" t="n">
        <v>5</v>
      </c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9.5" customHeight="1" s="363">
      <c r="A29" s="301" t="n"/>
      <c r="B29" s="301" t="n"/>
      <c r="C29" s="301" t="n"/>
      <c r="D29" s="301" t="n"/>
      <c r="E29" s="301" t="n"/>
      <c r="F29" s="301" t="n"/>
      <c r="G29" s="301" t="n"/>
      <c r="H29" s="301" t="n"/>
      <c r="I29" s="301" t="n"/>
      <c r="J29" s="301" t="n"/>
      <c r="K29" s="301" t="n"/>
      <c r="L29" s="301" t="n"/>
      <c r="M29" s="301" t="n"/>
      <c r="N29" s="301" t="n"/>
      <c r="O29" s="301" t="n"/>
      <c r="P29" s="301" t="n"/>
      <c r="Q29" s="301" t="n"/>
      <c r="R29" s="301" t="n"/>
      <c r="S29" s="301" t="n"/>
      <c r="T29" s="7" t="n"/>
      <c r="U29" s="7" t="n"/>
      <c r="V29" s="7" t="n"/>
      <c r="W29" s="7" t="n"/>
      <c r="X29" s="7" t="n"/>
      <c r="Y29" s="7" t="n"/>
      <c r="Z29" s="7" t="n"/>
    </row>
    <row r="30" ht="13.5" customHeight="1" s="363">
      <c r="A30" s="301" t="n"/>
      <c r="B30" s="301" t="n"/>
      <c r="C30" s="301" t="n"/>
      <c r="D30" s="301" t="n"/>
      <c r="E30" s="301" t="n"/>
      <c r="F30" s="301" t="n"/>
      <c r="G30" s="301" t="n"/>
      <c r="H30" s="301" t="n"/>
      <c r="I30" s="301" t="n"/>
      <c r="J30" s="301" t="n"/>
      <c r="K30" s="301" t="n"/>
      <c r="L30" s="301" t="n"/>
      <c r="M30" s="301" t="n"/>
      <c r="N30" s="301" t="n"/>
      <c r="O30" s="301" t="n"/>
      <c r="P30" s="301" t="n"/>
      <c r="Q30" s="301" t="n"/>
      <c r="R30" s="301" t="n"/>
      <c r="S30" s="301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363">
      <c r="A31" s="301" t="n"/>
      <c r="B31" s="301" t="n"/>
      <c r="C31" s="301" t="n"/>
      <c r="D31" s="301" t="n"/>
      <c r="E31" s="301" t="n"/>
      <c r="F31" s="301" t="n"/>
      <c r="G31" s="301" t="n"/>
      <c r="H31" s="301" t="n"/>
      <c r="I31" s="301" t="n"/>
      <c r="J31" s="301" t="n"/>
      <c r="K31" s="301" t="n"/>
      <c r="L31" s="301" t="n"/>
      <c r="M31" s="301" t="n"/>
      <c r="N31" s="301" t="n"/>
      <c r="O31" s="301" t="n"/>
      <c r="P31" s="301" t="n"/>
      <c r="Q31" s="301" t="n"/>
      <c r="R31" s="301" t="n"/>
      <c r="S31" s="301" t="n"/>
      <c r="T31" s="7" t="n"/>
      <c r="U31" s="7" t="n"/>
      <c r="V31" s="7" t="n"/>
      <c r="W31" s="7" t="n"/>
      <c r="X31" s="7" t="n"/>
      <c r="Y31" s="7" t="n"/>
      <c r="Z31" s="7" t="n"/>
    </row>
    <row r="32" ht="21.75" customHeight="1" s="363">
      <c r="A32" s="435" t="inlineStr">
        <is>
          <t>DYNAMIC STAFFING MODEL  —  Demand-Adjusted Headcount  |  Core = Permanent (year-round)  |  Seasonal = Fixed-term (Apr–Oct)  |  Buffer: 20% above demand floor</t>
        </is>
      </c>
      <c r="B32" s="398" t="n"/>
      <c r="C32" s="398" t="n"/>
      <c r="D32" s="398" t="n"/>
      <c r="E32" s="398" t="n"/>
      <c r="F32" s="398" t="n"/>
      <c r="G32" s="398" t="n"/>
      <c r="H32" s="398" t="n"/>
      <c r="I32" s="398" t="n"/>
      <c r="J32" s="398" t="n"/>
      <c r="K32" s="398" t="n"/>
      <c r="L32" s="399" t="n"/>
      <c r="M32" s="301" t="n"/>
      <c r="N32" s="301" t="n"/>
      <c r="O32" s="301" t="n"/>
      <c r="P32" s="301" t="n"/>
      <c r="Q32" s="301" t="n"/>
      <c r="R32" s="301" t="n"/>
      <c r="S32" s="301" t="n"/>
      <c r="T32" s="7" t="n"/>
      <c r="U32" s="7" t="n"/>
      <c r="V32" s="7" t="n"/>
      <c r="W32" s="7" t="n"/>
      <c r="X32" s="7" t="n"/>
      <c r="Y32" s="7" t="n"/>
      <c r="Z32" s="7" t="n"/>
    </row>
    <row r="33" ht="30" customHeight="1" s="363">
      <c r="A33" s="17" t="inlineStr">
        <is>
          <t>Month</t>
        </is>
      </c>
      <c r="B33" s="17" t="inlineStr">
        <is>
          <t>Revenue (€)</t>
        </is>
      </c>
      <c r="C33" s="17" t="inlineStr">
        <is>
          <t>35% Budget (€)</t>
        </is>
      </c>
      <c r="D33" s="17" t="inlineStr">
        <is>
          <t>Optimal T</t>
        </is>
      </c>
      <c r="E33" s="17" t="inlineStr">
        <is>
          <t>Core T</t>
        </is>
      </c>
      <c r="F33" s="17" t="inlineStr">
        <is>
          <t>Seasonal T</t>
        </is>
      </c>
      <c r="G33" s="17" t="inlineStr">
        <is>
          <t>Avg Tx /
Day / T</t>
        </is>
      </c>
      <c r="H33" s="17" t="inlineStr">
        <is>
          <t>Dynamic HC (€)</t>
        </is>
      </c>
      <c r="I33" s="17" t="inlineStr">
        <is>
          <t>Saving vs
Fixed (€)</t>
        </is>
      </c>
      <c r="J33" s="17" t="inlineStr">
        <is>
          <t>Status</t>
        </is>
      </c>
      <c r="K33" s="17" t="inlineStr">
        <is>
          <t># Core</t>
        </is>
      </c>
      <c r="L33" s="17" t="inlineStr">
        <is>
          <t># Seas</t>
        </is>
      </c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91" t="inlineStr">
        <is>
          <t>Jan</t>
        </is>
      </c>
      <c r="B34" s="303" t="n">
        <v>23909</v>
      </c>
      <c r="C34" s="303" t="n">
        <v>8368</v>
      </c>
      <c r="D34" s="304" t="n">
        <v>3</v>
      </c>
      <c r="E34" s="304" t="n">
        <v>3</v>
      </c>
      <c r="F34" s="305" t="n">
        <v>0</v>
      </c>
      <c r="G34" s="306" t="n">
        <v>4.1</v>
      </c>
      <c r="H34" s="303" t="n">
        <v>10417</v>
      </c>
      <c r="I34" s="307" t="n">
        <v>3354</v>
      </c>
      <c r="J34" s="92" t="inlineStr">
        <is>
          <t>● ON CORE</t>
        </is>
      </c>
      <c r="K34" s="305" t="n">
        <v>3</v>
      </c>
      <c r="L34" s="305" t="n">
        <v>0</v>
      </c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363">
      <c r="A35" s="91" t="inlineStr">
        <is>
          <t>Feb</t>
        </is>
      </c>
      <c r="B35" s="303" t="n">
        <v>25403</v>
      </c>
      <c r="C35" s="303" t="n">
        <v>8891</v>
      </c>
      <c r="D35" s="304" t="n">
        <v>4</v>
      </c>
      <c r="E35" s="304" t="n">
        <v>3</v>
      </c>
      <c r="F35" s="308" t="n">
        <v>1</v>
      </c>
      <c r="G35" s="309" t="n">
        <v>3.3</v>
      </c>
      <c r="H35" s="303" t="n">
        <v>12177</v>
      </c>
      <c r="I35" s="307" t="n">
        <v>1677</v>
      </c>
      <c r="J35" s="92" t="inlineStr">
        <is>
          <t>● ON CORE</t>
        </is>
      </c>
      <c r="K35" s="305" t="n">
        <v>3</v>
      </c>
      <c r="L35" s="107" t="n">
        <v>1</v>
      </c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363">
      <c r="A36" s="91" t="inlineStr">
        <is>
          <t>Mar</t>
        </is>
      </c>
      <c r="B36" s="303" t="n">
        <v>26897</v>
      </c>
      <c r="C36" s="303" t="n">
        <v>9414</v>
      </c>
      <c r="D36" s="304" t="n">
        <v>4</v>
      </c>
      <c r="E36" s="304" t="n">
        <v>3</v>
      </c>
      <c r="F36" s="308" t="n">
        <v>1</v>
      </c>
      <c r="G36" s="309" t="n">
        <v>3.4</v>
      </c>
      <c r="H36" s="303" t="n">
        <v>12260</v>
      </c>
      <c r="I36" s="307" t="n">
        <v>1677</v>
      </c>
      <c r="J36" s="92" t="inlineStr">
        <is>
          <t>● ON CORE</t>
        </is>
      </c>
      <c r="K36" s="305" t="n">
        <v>3</v>
      </c>
      <c r="L36" s="107" t="n">
        <v>1</v>
      </c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363">
      <c r="A37" s="310" t="inlineStr">
        <is>
          <t>Apr</t>
        </is>
      </c>
      <c r="B37" s="311" t="n">
        <v>28392</v>
      </c>
      <c r="C37" s="311" t="n">
        <v>9937</v>
      </c>
      <c r="D37" s="312" t="n">
        <v>4</v>
      </c>
      <c r="E37" s="304" t="n">
        <v>3</v>
      </c>
      <c r="F37" s="308" t="n">
        <v>1</v>
      </c>
      <c r="G37" s="313" t="n">
        <v>3.6</v>
      </c>
      <c r="H37" s="311" t="n">
        <v>12343</v>
      </c>
      <c r="I37" s="307" t="n">
        <v>1677</v>
      </c>
      <c r="J37" s="93" t="inlineStr">
        <is>
          <t>▲ SEASONAL ACTIVE</t>
        </is>
      </c>
      <c r="K37" s="305" t="n">
        <v>3</v>
      </c>
      <c r="L37" s="107" t="n">
        <v>1</v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310" t="inlineStr">
        <is>
          <t>May</t>
        </is>
      </c>
      <c r="B38" s="311" t="n">
        <v>29886</v>
      </c>
      <c r="C38" s="311" t="n">
        <v>10460</v>
      </c>
      <c r="D38" s="312" t="n">
        <v>4</v>
      </c>
      <c r="E38" s="304" t="n">
        <v>3</v>
      </c>
      <c r="F38" s="308" t="n">
        <v>1</v>
      </c>
      <c r="G38" s="313" t="n">
        <v>3.8</v>
      </c>
      <c r="H38" s="311" t="n">
        <v>12427</v>
      </c>
      <c r="I38" s="307" t="n">
        <v>1677</v>
      </c>
      <c r="J38" s="93" t="inlineStr">
        <is>
          <t>▲ SEASONAL ACTIVE</t>
        </is>
      </c>
      <c r="K38" s="305" t="n">
        <v>3</v>
      </c>
      <c r="L38" s="107" t="n">
        <v>1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310" t="inlineStr">
        <is>
          <t>Jun</t>
        </is>
      </c>
      <c r="B39" s="311" t="n">
        <v>32875</v>
      </c>
      <c r="C39" s="311" t="n">
        <v>11506</v>
      </c>
      <c r="D39" s="312" t="n">
        <v>4</v>
      </c>
      <c r="E39" s="304" t="n">
        <v>3</v>
      </c>
      <c r="F39" s="308" t="n">
        <v>1</v>
      </c>
      <c r="G39" s="306" t="n">
        <v>4.2</v>
      </c>
      <c r="H39" s="311" t="n">
        <v>12593</v>
      </c>
      <c r="I39" s="307" t="n">
        <v>1677</v>
      </c>
      <c r="J39" s="93" t="inlineStr">
        <is>
          <t>▲ SEASONAL ACTIVE</t>
        </is>
      </c>
      <c r="K39" s="305" t="n">
        <v>3</v>
      </c>
      <c r="L39" s="107" t="n">
        <v>1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310" t="inlineStr">
        <is>
          <t>Jul</t>
        </is>
      </c>
      <c r="B40" s="311" t="n">
        <v>35863</v>
      </c>
      <c r="C40" s="311" t="n">
        <v>12552</v>
      </c>
      <c r="D40" s="312" t="n">
        <v>5</v>
      </c>
      <c r="E40" s="304" t="n">
        <v>3</v>
      </c>
      <c r="F40" s="308" t="n">
        <v>2</v>
      </c>
      <c r="G40" s="313" t="n">
        <v>3.7</v>
      </c>
      <c r="H40" s="311" t="n">
        <v>14437</v>
      </c>
      <c r="I40" s="349" t="n">
        <v>0</v>
      </c>
      <c r="J40" s="93" t="inlineStr">
        <is>
          <t>▲ SEASONAL ACTIVE</t>
        </is>
      </c>
      <c r="K40" s="305" t="n">
        <v>3</v>
      </c>
      <c r="L40" s="107" t="n">
        <v>2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310" t="inlineStr">
        <is>
          <t>Aug</t>
        </is>
      </c>
      <c r="B41" s="311" t="n">
        <v>37358</v>
      </c>
      <c r="C41" s="311" t="n">
        <v>13075</v>
      </c>
      <c r="D41" s="312" t="n">
        <v>5</v>
      </c>
      <c r="E41" s="304" t="n">
        <v>3</v>
      </c>
      <c r="F41" s="308" t="n">
        <v>2</v>
      </c>
      <c r="G41" s="313" t="n">
        <v>3.8</v>
      </c>
      <c r="H41" s="311" t="n">
        <v>14521</v>
      </c>
      <c r="I41" s="349" t="n">
        <v>0</v>
      </c>
      <c r="J41" s="93" t="inlineStr">
        <is>
          <t>▲ SEASONAL ACTIVE</t>
        </is>
      </c>
      <c r="K41" s="305" t="n">
        <v>3</v>
      </c>
      <c r="L41" s="107" t="n">
        <v>2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310" t="inlineStr">
        <is>
          <t>Sep</t>
        </is>
      </c>
      <c r="B42" s="311" t="n">
        <v>32875</v>
      </c>
      <c r="C42" s="311" t="n">
        <v>11506</v>
      </c>
      <c r="D42" s="312" t="n">
        <v>4</v>
      </c>
      <c r="E42" s="304" t="n">
        <v>3</v>
      </c>
      <c r="F42" s="308" t="n">
        <v>1</v>
      </c>
      <c r="G42" s="306" t="n">
        <v>4.2</v>
      </c>
      <c r="H42" s="311" t="n">
        <v>12593</v>
      </c>
      <c r="I42" s="307" t="n">
        <v>1677</v>
      </c>
      <c r="J42" s="93" t="inlineStr">
        <is>
          <t>▲ SEASONAL ACTIVE</t>
        </is>
      </c>
      <c r="K42" s="305" t="n">
        <v>3</v>
      </c>
      <c r="L42" s="107" t="n">
        <v>1</v>
      </c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18" customHeight="1" s="363">
      <c r="A43" s="310" t="inlineStr">
        <is>
          <t>Oct</t>
        </is>
      </c>
      <c r="B43" s="311" t="n">
        <v>29886</v>
      </c>
      <c r="C43" s="311" t="n">
        <v>10460</v>
      </c>
      <c r="D43" s="312" t="n">
        <v>4</v>
      </c>
      <c r="E43" s="304" t="n">
        <v>3</v>
      </c>
      <c r="F43" s="308" t="n">
        <v>1</v>
      </c>
      <c r="G43" s="313" t="n">
        <v>3.8</v>
      </c>
      <c r="H43" s="311" t="n">
        <v>12427</v>
      </c>
      <c r="I43" s="307" t="n">
        <v>1677</v>
      </c>
      <c r="J43" s="93" t="inlineStr">
        <is>
          <t>▲ SEASONAL ACTIVE</t>
        </is>
      </c>
      <c r="K43" s="305" t="n">
        <v>3</v>
      </c>
      <c r="L43" s="107" t="n">
        <v>1</v>
      </c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18" customHeight="1" s="363">
      <c r="A44" s="91" t="inlineStr">
        <is>
          <t>Nov</t>
        </is>
      </c>
      <c r="B44" s="303" t="n">
        <v>26897</v>
      </c>
      <c r="C44" s="303" t="n">
        <v>9414</v>
      </c>
      <c r="D44" s="304" t="n">
        <v>4</v>
      </c>
      <c r="E44" s="304" t="n">
        <v>3</v>
      </c>
      <c r="F44" s="308" t="n">
        <v>1</v>
      </c>
      <c r="G44" s="309" t="n">
        <v>3.4</v>
      </c>
      <c r="H44" s="303" t="n">
        <v>12260</v>
      </c>
      <c r="I44" s="307" t="n">
        <v>1677</v>
      </c>
      <c r="J44" s="92" t="inlineStr">
        <is>
          <t>● ON CORE</t>
        </is>
      </c>
      <c r="K44" s="305" t="n">
        <v>3</v>
      </c>
      <c r="L44" s="107" t="n">
        <v>1</v>
      </c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18" customHeight="1" s="363">
      <c r="A45" s="91" t="inlineStr">
        <is>
          <t>Dec</t>
        </is>
      </c>
      <c r="B45" s="303" t="n">
        <v>28392</v>
      </c>
      <c r="C45" s="303" t="n">
        <v>9937</v>
      </c>
      <c r="D45" s="304" t="n">
        <v>4</v>
      </c>
      <c r="E45" s="304" t="n">
        <v>3</v>
      </c>
      <c r="F45" s="308" t="n">
        <v>1</v>
      </c>
      <c r="G45" s="309" t="n">
        <v>3.6</v>
      </c>
      <c r="H45" s="303" t="n">
        <v>12343</v>
      </c>
      <c r="I45" s="307" t="n">
        <v>1677</v>
      </c>
      <c r="J45" s="92" t="inlineStr">
        <is>
          <t>● ON CORE</t>
        </is>
      </c>
      <c r="K45" s="305" t="n">
        <v>3</v>
      </c>
      <c r="L45" s="107" t="n">
        <v>1</v>
      </c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21.75" customHeight="1" s="363">
      <c r="A46" s="9" t="inlineStr">
        <is>
          <t>ANNUAL TOTAL</t>
        </is>
      </c>
      <c r="B46" s="55" t="n">
        <v>358633</v>
      </c>
      <c r="C46" s="55" t="n">
        <v>125520</v>
      </c>
      <c r="D46" s="314" t="n"/>
      <c r="E46" s="314" t="n"/>
      <c r="F46" s="314" t="n"/>
      <c r="G46" s="314" t="n"/>
      <c r="H46" s="55" t="n">
        <v>150798</v>
      </c>
      <c r="I46" s="307" t="n">
        <v>18447</v>
      </c>
      <c r="J46" s="314" t="n"/>
      <c r="K46" s="314" t="n"/>
      <c r="L46" s="314" t="n"/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21.75" customHeight="1" s="363">
      <c r="A47" s="301" t="n"/>
      <c r="B47" s="301" t="n"/>
      <c r="C47" s="301" t="n"/>
      <c r="D47" s="301" t="n"/>
      <c r="E47" s="301" t="n"/>
      <c r="F47" s="301" t="n"/>
      <c r="G47" s="301" t="n"/>
      <c r="H47" s="301" t="n"/>
      <c r="I47" s="301" t="n"/>
      <c r="J47" s="301" t="n"/>
      <c r="K47" s="301" t="n"/>
      <c r="L47" s="301" t="n"/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9.5" customHeight="1" s="363">
      <c r="A48" s="436" t="inlineStr">
        <is>
          <t>SEASONAL STAFF ROSTER  —  Core = permanent contract  |  Seasonal = fixed-term Apr–Oct</t>
        </is>
      </c>
      <c r="B48" s="398" t="n"/>
      <c r="C48" s="398" t="n"/>
      <c r="D48" s="398" t="n"/>
      <c r="E48" s="398" t="n"/>
      <c r="F48" s="398" t="n"/>
      <c r="G48" s="398" t="n"/>
      <c r="H48" s="398" t="n"/>
      <c r="I48" s="398" t="n"/>
      <c r="J48" s="398" t="n"/>
      <c r="K48" s="398" t="n"/>
      <c r="L48" s="399" t="n"/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9.5" customHeight="1" s="363">
      <c r="A49" s="103" t="inlineStr">
        <is>
          <t>Name</t>
        </is>
      </c>
      <c r="B49" s="103" t="inlineStr">
        <is>
          <t>Contract Type</t>
        </is>
      </c>
      <c r="C49" s="103" t="inlineStr">
        <is>
          <t>Active</t>
        </is>
      </c>
      <c r="D49" s="103" t="inlineStr">
        <is>
          <t>Notes</t>
        </is>
      </c>
      <c r="E49" s="316" t="n"/>
      <c r="F49" s="316" t="n"/>
      <c r="G49" s="316" t="n"/>
      <c r="H49" s="316" t="n"/>
      <c r="I49" s="316" t="n"/>
      <c r="J49" s="316" t="n"/>
      <c r="K49" s="316" t="n"/>
      <c r="L49" s="316" t="n"/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18" customHeight="1" s="363">
      <c r="A50" s="91" t="inlineStr">
        <is>
          <t>T1 — Maria</t>
        </is>
      </c>
      <c r="B50" s="317" t="inlineStr">
        <is>
          <t>Permanent</t>
        </is>
      </c>
      <c r="C50" s="317" t="inlineStr">
        <is>
          <t>Year-round</t>
        </is>
      </c>
      <c r="D50" s="318" t="inlineStr">
        <is>
          <t>Core team</t>
        </is>
      </c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18" customHeight="1" s="363">
      <c r="A51" s="91" t="inlineStr">
        <is>
          <t>T2 — Sofia</t>
        </is>
      </c>
      <c r="B51" s="317" t="inlineStr">
        <is>
          <t>Permanent</t>
        </is>
      </c>
      <c r="C51" s="317" t="inlineStr">
        <is>
          <t>Year-round</t>
        </is>
      </c>
      <c r="D51" s="318" t="inlineStr">
        <is>
          <t>Core team</t>
        </is>
      </c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01" t="n"/>
      <c r="N51" s="301" t="n"/>
      <c r="O51" s="301" t="n"/>
      <c r="P51" s="301" t="n"/>
      <c r="Q51" s="301" t="n"/>
      <c r="R51" s="301" t="n"/>
      <c r="S51" s="301" t="n"/>
      <c r="T51" s="7" t="n"/>
      <c r="U51" s="7" t="n"/>
      <c r="V51" s="7" t="n"/>
      <c r="W51" s="7" t="n"/>
      <c r="X51" s="7" t="n"/>
      <c r="Y51" s="7" t="n"/>
      <c r="Z51" s="7" t="n"/>
    </row>
    <row r="52" ht="18" customHeight="1" s="363">
      <c r="A52" s="91" t="inlineStr">
        <is>
          <t>T3 — Elena</t>
        </is>
      </c>
      <c r="B52" s="317" t="inlineStr">
        <is>
          <t>Permanent</t>
        </is>
      </c>
      <c r="C52" s="317" t="inlineStr">
        <is>
          <t>Year-round</t>
        </is>
      </c>
      <c r="D52" s="318" t="inlineStr">
        <is>
          <t>Core team</t>
        </is>
      </c>
      <c r="E52" s="319" t="n"/>
      <c r="F52" s="319" t="n"/>
      <c r="G52" s="319" t="n"/>
      <c r="H52" s="319" t="n"/>
      <c r="I52" s="319" t="n"/>
      <c r="J52" s="319" t="n"/>
      <c r="K52" s="319" t="n"/>
      <c r="L52" s="319" t="n"/>
      <c r="M52" s="301" t="n"/>
      <c r="N52" s="301" t="n"/>
      <c r="O52" s="301" t="n"/>
      <c r="P52" s="301" t="n"/>
      <c r="Q52" s="301" t="n"/>
      <c r="R52" s="301" t="n"/>
      <c r="S52" s="301" t="n"/>
      <c r="T52" s="7" t="n"/>
      <c r="U52" s="7" t="n"/>
      <c r="V52" s="7" t="n"/>
      <c r="W52" s="7" t="n"/>
      <c r="X52" s="7" t="n"/>
      <c r="Y52" s="7" t="n"/>
      <c r="Z52" s="7" t="n"/>
    </row>
    <row r="53" ht="18" customHeight="1" s="363">
      <c r="A53" s="320" t="inlineStr">
        <is>
          <t>T4 — Isabelle (seasonal)</t>
        </is>
      </c>
      <c r="B53" s="321" t="inlineStr">
        <is>
          <t>Fixed-term seasonal</t>
        </is>
      </c>
      <c r="C53" s="321" t="inlineStr">
        <is>
          <t>Apr 1 – Oct 31</t>
        </is>
      </c>
      <c r="D53" s="322" t="inlineStr">
        <is>
          <t>Recruit by Feb 15</t>
        </is>
      </c>
      <c r="E53" s="323" t="n"/>
      <c r="F53" s="323" t="n"/>
      <c r="G53" s="323" t="n"/>
      <c r="H53" s="323" t="n"/>
      <c r="I53" s="323" t="n"/>
      <c r="J53" s="323" t="n"/>
      <c r="K53" s="323" t="n"/>
      <c r="L53" s="323" t="n"/>
      <c r="M53" s="301" t="n"/>
      <c r="N53" s="301" t="n"/>
      <c r="O53" s="301" t="n"/>
      <c r="P53" s="301" t="n"/>
      <c r="Q53" s="301" t="n"/>
      <c r="R53" s="301" t="n"/>
      <c r="S53" s="301" t="n"/>
      <c r="T53" s="7" t="n"/>
      <c r="U53" s="7" t="n"/>
      <c r="V53" s="7" t="n"/>
      <c r="W53" s="7" t="n"/>
      <c r="X53" s="7" t="n"/>
      <c r="Y53" s="7" t="n"/>
      <c r="Z53" s="7" t="n"/>
    </row>
    <row r="54" ht="18" customHeight="1" s="363">
      <c r="A54" s="320" t="inlineStr">
        <is>
          <t>T5 — Natalia (seasonal)</t>
        </is>
      </c>
      <c r="B54" s="321" t="inlineStr">
        <is>
          <t>Fixed-term seasonal</t>
        </is>
      </c>
      <c r="C54" s="321" t="inlineStr">
        <is>
          <t>Apr 1 – Oct 31</t>
        </is>
      </c>
      <c r="D54" s="322" t="inlineStr">
        <is>
          <t>Recruit by Feb 15</t>
        </is>
      </c>
      <c r="E54" s="323" t="n"/>
      <c r="F54" s="323" t="n"/>
      <c r="G54" s="323" t="n"/>
      <c r="H54" s="323" t="n"/>
      <c r="I54" s="323" t="n"/>
      <c r="J54" s="323" t="n"/>
      <c r="K54" s="323" t="n"/>
      <c r="L54" s="323" t="n"/>
      <c r="M54" s="301" t="n"/>
      <c r="N54" s="301" t="n"/>
      <c r="O54" s="301" t="n"/>
      <c r="P54" s="301" t="n"/>
      <c r="Q54" s="301" t="n"/>
      <c r="R54" s="301" t="n"/>
      <c r="S54" s="301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301" t="n"/>
      <c r="B55" s="301" t="n"/>
      <c r="C55" s="301" t="n"/>
      <c r="D55" s="301" t="n"/>
      <c r="E55" s="301" t="n"/>
      <c r="F55" s="301" t="n"/>
      <c r="G55" s="301" t="n"/>
      <c r="H55" s="301" t="n"/>
      <c r="I55" s="301" t="n"/>
      <c r="J55" s="301" t="n"/>
      <c r="K55" s="301" t="n"/>
      <c r="L55" s="301" t="n"/>
      <c r="M55" s="301" t="n"/>
      <c r="N55" s="301" t="n"/>
      <c r="O55" s="301" t="n"/>
      <c r="P55" s="301" t="n"/>
      <c r="Q55" s="301" t="n"/>
      <c r="R55" s="301" t="n"/>
      <c r="S55" s="301" t="n"/>
      <c r="T55" s="7" t="n"/>
      <c r="U55" s="7" t="n"/>
      <c r="V55" s="7" t="n"/>
      <c r="W55" s="7" t="n"/>
      <c r="X55" s="7" t="n"/>
      <c r="Y55" s="7" t="n"/>
      <c r="Z55" s="7" t="n"/>
    </row>
    <row r="56" ht="21.75" customHeight="1" s="363">
      <c r="A56" s="262" t="inlineStr">
        <is>
          <t>T:R RATIO QC  —  THERAPIST · RECEPTION HC SPEND RECONCILIATION  |  Validates that cost allocation by role is within industry benchmarks</t>
        </is>
      </c>
      <c r="B56" s="398" t="n"/>
      <c r="C56" s="398" t="n"/>
      <c r="D56" s="398" t="n"/>
      <c r="E56" s="398" t="n"/>
      <c r="F56" s="398" t="n"/>
      <c r="G56" s="398" t="n"/>
      <c r="H56" s="398" t="n"/>
      <c r="I56" s="398" t="n"/>
      <c r="J56" s="398" t="n"/>
      <c r="K56" s="398" t="n"/>
      <c r="L56" s="399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30" customHeight="1" s="363">
      <c r="A57" s="17" t="inlineStr">
        <is>
          <t>Role / Category</t>
        </is>
      </c>
      <c r="B57" s="17" t="inlineStr">
        <is>
          <t>Avg Annual
FTEs</t>
        </is>
      </c>
      <c r="C57" s="17" t="inlineStr">
        <is>
          <t>Annual Cost (€)</t>
        </is>
      </c>
      <c r="D57" s="17" t="inlineStr">
        <is>
          <t>% of Total
Dynamic HC</t>
        </is>
      </c>
      <c r="E57" s="17" t="inlineStr">
        <is>
          <t>Industry
Benchmark</t>
        </is>
      </c>
      <c r="F57" s="17" t="inlineStr">
        <is>
          <t>QC Status</t>
        </is>
      </c>
      <c r="G57" s="324" t="n"/>
      <c r="H57" s="324" t="n"/>
      <c r="I57" s="324" t="n"/>
      <c r="J57" s="324" t="n"/>
      <c r="K57" s="324" t="n"/>
      <c r="L57" s="324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8" customHeight="1" s="363">
      <c r="A58" s="91" t="inlineStr">
        <is>
          <t>Therapists (T)</t>
        </is>
      </c>
      <c r="B58" s="325" t="inlineStr">
        <is>
          <t>4.1</t>
        </is>
      </c>
      <c r="C58" s="303" t="n">
        <v>82173</v>
      </c>
      <c r="D58" s="350" t="n">
        <v>0.5449210201726813</v>
      </c>
      <c r="E58" s="327" t="inlineStr">
        <is>
          <t>60% – 85%</t>
        </is>
      </c>
      <c r="F58" s="351" t="inlineStr">
        <is>
          <t>⚠  T = 54.5% of total HC</t>
        </is>
      </c>
      <c r="G58" s="329" t="n"/>
      <c r="H58" s="329" t="n"/>
      <c r="I58" s="329" t="n"/>
      <c r="J58" s="329" t="n"/>
      <c r="K58" s="329" t="n"/>
      <c r="L58" s="329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8" customHeight="1" s="363">
      <c r="A59" s="330" t="inlineStr">
        <is>
          <t>Reception (R)</t>
        </is>
      </c>
      <c r="B59" s="331" t="inlineStr">
        <is>
          <t>2</t>
        </is>
      </c>
      <c r="C59" s="28" t="n">
        <v>37560</v>
      </c>
      <c r="D59" s="350" t="n">
        <v>0.249074921418056</v>
      </c>
      <c r="E59" s="332" t="inlineStr">
        <is>
          <t>7% – 20%</t>
        </is>
      </c>
      <c r="F59" s="351" t="inlineStr">
        <is>
          <t>⚠  R = 24.9% of total HC</t>
        </is>
      </c>
      <c r="G59" s="333" t="n"/>
      <c r="H59" s="333" t="n"/>
      <c r="I59" s="333" t="n"/>
      <c r="J59" s="333" t="n"/>
      <c r="K59" s="333" t="n"/>
      <c r="L59" s="333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8" customHeight="1" s="363">
      <c r="A60" s="334" t="inlineStr">
        <is>
          <t>Relationship Manager (RM)</t>
        </is>
      </c>
      <c r="B60" s="335" t="inlineStr">
        <is>
          <t>33% FTE</t>
        </is>
      </c>
      <c r="C60" s="336" t="n">
        <v>11064</v>
      </c>
      <c r="D60" s="326" t="n">
        <v>0.07336967333784268</v>
      </c>
      <c r="E60" s="337" t="inlineStr">
        <is>
          <t>3% – 10%</t>
        </is>
      </c>
      <c r="F60" s="328" t="inlineStr">
        <is>
          <t>✓  RM = 7.3% of total HC</t>
        </is>
      </c>
      <c r="G60" s="338" t="n"/>
      <c r="H60" s="338" t="n"/>
      <c r="I60" s="338" t="n"/>
      <c r="J60" s="338" t="n"/>
      <c r="K60" s="338" t="n"/>
      <c r="L60" s="338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8" customHeight="1" s="363">
      <c r="A61" s="339" t="inlineStr">
        <is>
          <t>Variable Commissions</t>
        </is>
      </c>
      <c r="B61" s="340" t="inlineStr">
        <is>
          <t>—</t>
        </is>
      </c>
      <c r="C61" s="341" t="n">
        <v>20001</v>
      </c>
      <c r="D61" s="342" t="n">
        <v>0.1326343850714201</v>
      </c>
      <c r="E61" s="340" t="inlineStr">
        <is>
          <t>—</t>
        </is>
      </c>
      <c r="F61" s="339" t="inlineStr">
        <is>
          <t>Treatment + retail performance bonuses</t>
        </is>
      </c>
      <c r="G61" s="343" t="n"/>
      <c r="H61" s="343" t="n"/>
      <c r="I61" s="343" t="n"/>
      <c r="J61" s="343" t="n"/>
      <c r="K61" s="343" t="n"/>
      <c r="L61" s="343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21.75" customHeight="1" s="363">
      <c r="A62" s="262" t="inlineStr">
        <is>
          <t>TOTAL DYNAMIC HC</t>
        </is>
      </c>
      <c r="B62" s="344" t="inlineStr">
        <is>
          <t>—</t>
        </is>
      </c>
      <c r="C62" s="55" t="n">
        <v>150798</v>
      </c>
      <c r="D62" s="9" t="inlineStr">
        <is>
          <t>100.0%</t>
        </is>
      </c>
      <c r="E62" s="56" t="n"/>
      <c r="F62" s="56" t="n"/>
      <c r="G62" s="56" t="n"/>
      <c r="H62" s="56" t="n"/>
      <c r="I62" s="56" t="n"/>
      <c r="J62" s="56" t="n"/>
      <c r="K62" s="56" t="n"/>
      <c r="L62" s="56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9.5" customHeight="1" s="363">
      <c r="A63" s="345" t="inlineStr">
        <is>
          <t>T:R Headcount Ratio</t>
        </is>
      </c>
      <c r="B63" s="346" t="inlineStr">
        <is>
          <t>2.0 : 1</t>
        </is>
      </c>
      <c r="C63" s="347" t="inlineStr">
        <is>
          <t>Avg 4.1 therapists : 2 receptionist(s)</t>
        </is>
      </c>
      <c r="D63" s="352" t="n">
        <v>2.05</v>
      </c>
      <c r="E63" s="257" t="inlineStr">
        <is>
          <t>3:1 – 7:1</t>
        </is>
      </c>
      <c r="F63" s="351" t="inlineStr">
        <is>
          <t>⚠  Ratio 2.0:1 — review headcount split</t>
        </is>
      </c>
      <c r="G63" s="324" t="n"/>
      <c r="H63" s="324" t="n"/>
      <c r="I63" s="324" t="n"/>
      <c r="J63" s="324" t="n"/>
      <c r="K63" s="324" t="n"/>
      <c r="L63" s="324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9.5" customHeight="1" s="363">
      <c r="A64" s="345" t="inlineStr">
        <is>
          <t>T:R Spend Ratio (€)</t>
        </is>
      </c>
      <c r="B64" s="346" t="inlineStr">
        <is>
          <t>2.2×</t>
        </is>
      </c>
      <c r="C64" s="347" t="inlineStr">
        <is>
          <t>For every €1 in reception cost, €2.2 spent on therapists</t>
        </is>
      </c>
      <c r="D64" s="352" t="n">
        <v>2.187779552715655</v>
      </c>
      <c r="E64" s="257" t="inlineStr">
        <is>
          <t>3× – 8×</t>
        </is>
      </c>
      <c r="F64" s="351" t="inlineStr">
        <is>
          <t>⚠  Spend ratio 2.2× — review cost balance</t>
        </is>
      </c>
      <c r="G64" s="324" t="n"/>
      <c r="H64" s="324" t="n"/>
      <c r="I64" s="324" t="n"/>
      <c r="J64" s="324" t="n"/>
      <c r="K64" s="324" t="n"/>
      <c r="L64" s="324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8">
    <mergeCell ref="A1:J1"/>
    <mergeCell ref="A32:L32"/>
    <mergeCell ref="A4:J4"/>
    <mergeCell ref="A20:J20"/>
    <mergeCell ref="A56:L56"/>
    <mergeCell ref="A2:J2"/>
    <mergeCell ref="A48:L48"/>
    <mergeCell ref="A65:L65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HYATT REGENCY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€304,296  |  Monthly avg: €25,358  |  Receptionists: 1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20286</v>
      </c>
      <c r="C6" s="54" t="n">
        <v>8114</v>
      </c>
      <c r="D6" s="54" t="n">
        <v>5516</v>
      </c>
      <c r="E6" s="29" t="n">
        <v>2</v>
      </c>
      <c r="F6" s="54" t="n">
        <v>1565</v>
      </c>
      <c r="G6" s="29" t="n">
        <v>1</v>
      </c>
      <c r="H6" s="54" t="n">
        <v>1033</v>
      </c>
      <c r="I6" s="54" t="n">
        <v>0</v>
      </c>
      <c r="J6" s="54" t="n">
        <v>8114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21554</v>
      </c>
      <c r="C7" s="289" t="n">
        <v>8622</v>
      </c>
      <c r="D7" s="289" t="n">
        <v>6017</v>
      </c>
      <c r="E7" s="290" t="n">
        <v>2</v>
      </c>
      <c r="F7" s="289" t="n">
        <v>1565</v>
      </c>
      <c r="G7" s="290" t="n">
        <v>1</v>
      </c>
      <c r="H7" s="289" t="n">
        <v>1040</v>
      </c>
      <c r="I7" s="289" t="n">
        <v>0</v>
      </c>
      <c r="J7" s="289" t="n">
        <v>8622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22822</v>
      </c>
      <c r="C8" s="54" t="n">
        <v>9129</v>
      </c>
      <c r="D8" s="54" t="n">
        <v>6518</v>
      </c>
      <c r="E8" s="29" t="n">
        <v>3</v>
      </c>
      <c r="F8" s="54" t="n">
        <v>1565</v>
      </c>
      <c r="G8" s="29" t="n">
        <v>1</v>
      </c>
      <c r="H8" s="54" t="n">
        <v>1046</v>
      </c>
      <c r="I8" s="54" t="n">
        <v>0</v>
      </c>
      <c r="J8" s="54" t="n">
        <v>9129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24090</v>
      </c>
      <c r="C9" s="289" t="n">
        <v>9636</v>
      </c>
      <c r="D9" s="289" t="n">
        <v>7019</v>
      </c>
      <c r="E9" s="290" t="n">
        <v>3</v>
      </c>
      <c r="F9" s="289" t="n">
        <v>1565</v>
      </c>
      <c r="G9" s="290" t="n">
        <v>1</v>
      </c>
      <c r="H9" s="289" t="n">
        <v>1052</v>
      </c>
      <c r="I9" s="289" t="n">
        <v>0</v>
      </c>
      <c r="J9" s="289" t="n">
        <v>9636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25358</v>
      </c>
      <c r="C10" s="54" t="n">
        <v>10143</v>
      </c>
      <c r="D10" s="54" t="n">
        <v>7519</v>
      </c>
      <c r="E10" s="29" t="n">
        <v>3</v>
      </c>
      <c r="F10" s="54" t="n">
        <v>1565</v>
      </c>
      <c r="G10" s="29" t="n">
        <v>1</v>
      </c>
      <c r="H10" s="54" t="n">
        <v>1059</v>
      </c>
      <c r="I10" s="54" t="n">
        <v>0</v>
      </c>
      <c r="J10" s="54" t="n">
        <v>10143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27894</v>
      </c>
      <c r="C11" s="289" t="n">
        <v>11158</v>
      </c>
      <c r="D11" s="289" t="n">
        <v>8522</v>
      </c>
      <c r="E11" s="290" t="n">
        <v>4</v>
      </c>
      <c r="F11" s="289" t="n">
        <v>1565</v>
      </c>
      <c r="G11" s="290" t="n">
        <v>1</v>
      </c>
      <c r="H11" s="289" t="n">
        <v>1071</v>
      </c>
      <c r="I11" s="289" t="n">
        <v>0</v>
      </c>
      <c r="J11" s="289" t="n">
        <v>11158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30430</v>
      </c>
      <c r="C12" s="54" t="n">
        <v>12172</v>
      </c>
      <c r="D12" s="54" t="n">
        <v>9523</v>
      </c>
      <c r="E12" s="29" t="n">
        <v>4</v>
      </c>
      <c r="F12" s="54" t="n">
        <v>1565</v>
      </c>
      <c r="G12" s="29" t="n">
        <v>1</v>
      </c>
      <c r="H12" s="54" t="n">
        <v>1084</v>
      </c>
      <c r="I12" s="54" t="n">
        <v>0</v>
      </c>
      <c r="J12" s="54" t="n">
        <v>12172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31698</v>
      </c>
      <c r="C13" s="289" t="n">
        <v>12679</v>
      </c>
      <c r="D13" s="289" t="n">
        <v>10024</v>
      </c>
      <c r="E13" s="290" t="n">
        <v>5</v>
      </c>
      <c r="F13" s="289" t="n">
        <v>1565</v>
      </c>
      <c r="G13" s="290" t="n">
        <v>1</v>
      </c>
      <c r="H13" s="289" t="n">
        <v>1090</v>
      </c>
      <c r="I13" s="289" t="n">
        <v>0</v>
      </c>
      <c r="J13" s="289" t="n">
        <v>12679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27894</v>
      </c>
      <c r="C14" s="54" t="n">
        <v>11158</v>
      </c>
      <c r="D14" s="54" t="n">
        <v>8522</v>
      </c>
      <c r="E14" s="29" t="n">
        <v>4</v>
      </c>
      <c r="F14" s="54" t="n">
        <v>1565</v>
      </c>
      <c r="G14" s="29" t="n">
        <v>1</v>
      </c>
      <c r="H14" s="54" t="n">
        <v>1071</v>
      </c>
      <c r="I14" s="54" t="n">
        <v>0</v>
      </c>
      <c r="J14" s="54" t="n">
        <v>11158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25358</v>
      </c>
      <c r="C15" s="289" t="n">
        <v>10143</v>
      </c>
      <c r="D15" s="289" t="n">
        <v>7519</v>
      </c>
      <c r="E15" s="290" t="n">
        <v>3</v>
      </c>
      <c r="F15" s="289" t="n">
        <v>1565</v>
      </c>
      <c r="G15" s="290" t="n">
        <v>1</v>
      </c>
      <c r="H15" s="289" t="n">
        <v>1059</v>
      </c>
      <c r="I15" s="289" t="n">
        <v>0</v>
      </c>
      <c r="J15" s="289" t="n">
        <v>10143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22822</v>
      </c>
      <c r="C16" s="54" t="n">
        <v>9129</v>
      </c>
      <c r="D16" s="54" t="n">
        <v>6518</v>
      </c>
      <c r="E16" s="29" t="n">
        <v>3</v>
      </c>
      <c r="F16" s="54" t="n">
        <v>1565</v>
      </c>
      <c r="G16" s="29" t="n">
        <v>1</v>
      </c>
      <c r="H16" s="54" t="n">
        <v>1046</v>
      </c>
      <c r="I16" s="54" t="n">
        <v>0</v>
      </c>
      <c r="J16" s="54" t="n">
        <v>9129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24090</v>
      </c>
      <c r="C17" s="289" t="n">
        <v>9636</v>
      </c>
      <c r="D17" s="289" t="n">
        <v>7019</v>
      </c>
      <c r="E17" s="290" t="n">
        <v>3</v>
      </c>
      <c r="F17" s="289" t="n">
        <v>1565</v>
      </c>
      <c r="G17" s="290" t="n">
        <v>1</v>
      </c>
      <c r="H17" s="289" t="n">
        <v>1052</v>
      </c>
      <c r="I17" s="289" t="n">
        <v>0</v>
      </c>
      <c r="J17" s="289" t="n">
        <v>9636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304296</v>
      </c>
      <c r="C18" s="292" t="n">
        <v>121719</v>
      </c>
      <c r="D18" s="292" t="n">
        <v>90236</v>
      </c>
      <c r="E18" s="293" t="n"/>
      <c r="F18" s="292" t="n">
        <v>18780</v>
      </c>
      <c r="G18" s="293" t="n">
        <v>1</v>
      </c>
      <c r="H18" s="292" t="n">
        <v>12703</v>
      </c>
      <c r="I18" s="292" t="n">
        <v>0</v>
      </c>
      <c r="J18" s="292" t="n">
        <v>121719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Amara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27" t="inlineStr">
        <is>
          <t>A</t>
        </is>
      </c>
      <c r="G22" s="127" t="inlineStr">
        <is>
          <t>A</t>
        </is>
      </c>
      <c r="H22" s="127" t="inlineStr">
        <is>
          <t>A</t>
        </is>
      </c>
      <c r="I22" s="127" t="inlineStr">
        <is>
          <t>A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Lucia</t>
        </is>
      </c>
      <c r="B23" s="300" t="inlineStr">
        <is>
          <t>Therapist</t>
        </is>
      </c>
      <c r="C23" s="126" t="inlineStr">
        <is>
          <t>OFF</t>
        </is>
      </c>
      <c r="D23" s="126" t="inlineStr">
        <is>
          <t>OFF</t>
        </is>
      </c>
      <c r="E23" s="137" t="inlineStr">
        <is>
          <t>B</t>
        </is>
      </c>
      <c r="F23" s="137" t="inlineStr">
        <is>
          <t>B</t>
        </is>
      </c>
      <c r="G23" s="137" t="inlineStr">
        <is>
          <t>B</t>
        </is>
      </c>
      <c r="H23" s="137" t="inlineStr">
        <is>
          <t>B</t>
        </is>
      </c>
      <c r="I23" s="137" t="inlineStr">
        <is>
          <t>B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T3 — Priya</t>
        </is>
      </c>
      <c r="B24" s="298" t="inlineStr">
        <is>
          <t>Therapist</t>
        </is>
      </c>
      <c r="C24" s="127" t="inlineStr">
        <is>
          <t>A</t>
        </is>
      </c>
      <c r="D24" s="127" t="inlineStr">
        <is>
          <t>A</t>
        </is>
      </c>
      <c r="E24" s="126" t="inlineStr">
        <is>
          <t>OFF</t>
        </is>
      </c>
      <c r="F24" s="126" t="inlineStr">
        <is>
          <t>OFF</t>
        </is>
      </c>
      <c r="G24" s="127" t="inlineStr">
        <is>
          <t>A</t>
        </is>
      </c>
      <c r="H24" s="127" t="inlineStr">
        <is>
          <t>A</t>
        </is>
      </c>
      <c r="I24" s="127" t="inlineStr">
        <is>
          <t>A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162" t="inlineStr">
        <is>
          <t>T4 — Lena</t>
        </is>
      </c>
      <c r="B25" s="300" t="inlineStr">
        <is>
          <t>Therapist</t>
        </is>
      </c>
      <c r="C25" s="137" t="inlineStr">
        <is>
          <t>B</t>
        </is>
      </c>
      <c r="D25" s="137" t="inlineStr">
        <is>
          <t>B</t>
        </is>
      </c>
      <c r="E25" s="126" t="inlineStr">
        <is>
          <t>OFF</t>
        </is>
      </c>
      <c r="F25" s="126" t="inlineStr">
        <is>
          <t>OFF</t>
        </is>
      </c>
      <c r="G25" s="137" t="inlineStr">
        <is>
          <t>B</t>
        </is>
      </c>
      <c r="H25" s="137" t="inlineStr">
        <is>
          <t>B</t>
        </is>
      </c>
      <c r="I25" s="137" t="inlineStr">
        <is>
          <t>B</t>
        </is>
      </c>
      <c r="J25" s="299" t="n">
        <v>5</v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297" t="inlineStr">
        <is>
          <t>R1 — Nadia</t>
        </is>
      </c>
      <c r="B26" s="298" t="inlineStr">
        <is>
          <t>Receptionist</t>
        </is>
      </c>
      <c r="C26" s="127" t="inlineStr">
        <is>
          <t>A</t>
        </is>
      </c>
      <c r="D26" s="126" t="inlineStr">
        <is>
          <t>OFF</t>
        </is>
      </c>
      <c r="E26" s="126" t="inlineStr">
        <is>
          <t>OFF</t>
        </is>
      </c>
      <c r="F26" s="127" t="inlineStr">
        <is>
          <t>A</t>
        </is>
      </c>
      <c r="G26" s="127" t="inlineStr">
        <is>
          <t>A</t>
        </is>
      </c>
      <c r="H26" s="127" t="inlineStr">
        <is>
          <t>A</t>
        </is>
      </c>
      <c r="I26" s="127" t="inlineStr">
        <is>
          <t>A</t>
        </is>
      </c>
      <c r="J26" s="299" t="n">
        <v>5</v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 s="363">
      <c r="A27" s="301" t="n"/>
      <c r="B27" s="301" t="n"/>
      <c r="C27" s="301" t="n"/>
      <c r="D27" s="301" t="n"/>
      <c r="E27" s="301" t="n"/>
      <c r="F27" s="301" t="n"/>
      <c r="G27" s="301" t="n"/>
      <c r="H27" s="301" t="n"/>
      <c r="I27" s="301" t="n"/>
      <c r="J27" s="301" t="n"/>
      <c r="K27" s="301" t="n"/>
      <c r="L27" s="301" t="n"/>
      <c r="M27" s="301" t="n"/>
      <c r="N27" s="301" t="n"/>
      <c r="O27" s="301" t="n"/>
      <c r="P27" s="301" t="n"/>
      <c r="Q27" s="301" t="n"/>
      <c r="R27" s="301" t="n"/>
      <c r="S27" s="301" t="n"/>
      <c r="T27" s="7" t="n"/>
      <c r="U27" s="7" t="n"/>
      <c r="V27" s="7" t="n"/>
      <c r="W27" s="7" t="n"/>
      <c r="X27" s="7" t="n"/>
      <c r="Y27" s="7" t="n"/>
      <c r="Z27" s="7" t="n"/>
    </row>
    <row r="28" ht="13.5" customHeight="1" s="363">
      <c r="A28" s="301" t="n"/>
      <c r="B28" s="301" t="n"/>
      <c r="C28" s="301" t="n"/>
      <c r="D28" s="301" t="n"/>
      <c r="E28" s="301" t="n"/>
      <c r="F28" s="301" t="n"/>
      <c r="G28" s="301" t="n"/>
      <c r="H28" s="301" t="n"/>
      <c r="I28" s="301" t="n"/>
      <c r="J28" s="301" t="n"/>
      <c r="K28" s="301" t="n"/>
      <c r="L28" s="301" t="n"/>
      <c r="M28" s="301" t="n"/>
      <c r="N28" s="301" t="n"/>
      <c r="O28" s="301" t="n"/>
      <c r="P28" s="301" t="n"/>
      <c r="Q28" s="301" t="n"/>
      <c r="R28" s="301" t="n"/>
      <c r="S28" s="301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363">
      <c r="A29" s="301" t="n"/>
      <c r="B29" s="301" t="n"/>
      <c r="C29" s="301" t="n"/>
      <c r="D29" s="301" t="n"/>
      <c r="E29" s="301" t="n"/>
      <c r="F29" s="301" t="n"/>
      <c r="G29" s="301" t="n"/>
      <c r="H29" s="301" t="n"/>
      <c r="I29" s="301" t="n"/>
      <c r="J29" s="301" t="n"/>
      <c r="K29" s="301" t="n"/>
      <c r="L29" s="301" t="n"/>
      <c r="M29" s="301" t="n"/>
      <c r="N29" s="301" t="n"/>
      <c r="O29" s="301" t="n"/>
      <c r="P29" s="301" t="n"/>
      <c r="Q29" s="301" t="n"/>
      <c r="R29" s="301" t="n"/>
      <c r="S29" s="301" t="n"/>
      <c r="T29" s="7" t="n"/>
      <c r="U29" s="7" t="n"/>
      <c r="V29" s="7" t="n"/>
      <c r="W29" s="7" t="n"/>
      <c r="X29" s="7" t="n"/>
      <c r="Y29" s="7" t="n"/>
      <c r="Z29" s="7" t="n"/>
    </row>
    <row r="30" ht="21.75" customHeight="1" s="363">
      <c r="A30" s="435" t="inlineStr">
        <is>
          <t>DYNAMIC STAFFING MODEL  —  Demand-Adjusted Headcount  |  Core = Permanent (year-round)  |  Seasonal = Fixed-term (Apr–Oct)  |  Buffer: 20% above demand floor</t>
        </is>
      </c>
      <c r="B30" s="398" t="n"/>
      <c r="C30" s="398" t="n"/>
      <c r="D30" s="398" t="n"/>
      <c r="E30" s="398" t="n"/>
      <c r="F30" s="398" t="n"/>
      <c r="G30" s="398" t="n"/>
      <c r="H30" s="398" t="n"/>
      <c r="I30" s="398" t="n"/>
      <c r="J30" s="398" t="n"/>
      <c r="K30" s="398" t="n"/>
      <c r="L30" s="399" t="n"/>
      <c r="M30" s="301" t="n"/>
      <c r="N30" s="301" t="n"/>
      <c r="O30" s="301" t="n"/>
      <c r="P30" s="301" t="n"/>
      <c r="Q30" s="301" t="n"/>
      <c r="R30" s="301" t="n"/>
      <c r="S30" s="301" t="n"/>
      <c r="T30" s="7" t="n"/>
      <c r="U30" s="7" t="n"/>
      <c r="V30" s="7" t="n"/>
      <c r="W30" s="7" t="n"/>
      <c r="X30" s="7" t="n"/>
      <c r="Y30" s="7" t="n"/>
      <c r="Z30" s="7" t="n"/>
    </row>
    <row r="31" ht="30" customHeight="1" s="363">
      <c r="A31" s="17" t="inlineStr">
        <is>
          <t>Month</t>
        </is>
      </c>
      <c r="B31" s="17" t="inlineStr">
        <is>
          <t>Revenue (€)</t>
        </is>
      </c>
      <c r="C31" s="17" t="inlineStr">
        <is>
          <t>35% Budget (€)</t>
        </is>
      </c>
      <c r="D31" s="17" t="inlineStr">
        <is>
          <t>Optimal T</t>
        </is>
      </c>
      <c r="E31" s="17" t="inlineStr">
        <is>
          <t>Core T</t>
        </is>
      </c>
      <c r="F31" s="17" t="inlineStr">
        <is>
          <t>Seasonal T</t>
        </is>
      </c>
      <c r="G31" s="17" t="inlineStr">
        <is>
          <t>Avg Tx /
Day / T</t>
        </is>
      </c>
      <c r="H31" s="17" t="inlineStr">
        <is>
          <t>Dynamic HC (€)</t>
        </is>
      </c>
      <c r="I31" s="17" t="inlineStr">
        <is>
          <t>Saving vs
Fixed (€)</t>
        </is>
      </c>
      <c r="J31" s="17" t="inlineStr">
        <is>
          <t>Status</t>
        </is>
      </c>
      <c r="K31" s="17" t="inlineStr">
        <is>
          <t># Core</t>
        </is>
      </c>
      <c r="L31" s="17" t="inlineStr">
        <is>
          <t># Seas</t>
        </is>
      </c>
      <c r="M31" s="301" t="n"/>
      <c r="N31" s="301" t="n"/>
      <c r="O31" s="301" t="n"/>
      <c r="P31" s="301" t="n"/>
      <c r="Q31" s="301" t="n"/>
      <c r="R31" s="301" t="n"/>
      <c r="S31" s="301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363">
      <c r="A32" s="91" t="inlineStr">
        <is>
          <t>Jan</t>
        </is>
      </c>
      <c r="B32" s="303" t="n">
        <v>20286</v>
      </c>
      <c r="C32" s="303" t="n">
        <v>7100</v>
      </c>
      <c r="D32" s="304" t="n">
        <v>3</v>
      </c>
      <c r="E32" s="304" t="n">
        <v>2</v>
      </c>
      <c r="F32" s="308" t="n">
        <v>1</v>
      </c>
      <c r="G32" s="309" t="n">
        <v>3.5</v>
      </c>
      <c r="H32" s="303" t="n">
        <v>8649</v>
      </c>
      <c r="I32" s="307" t="n">
        <v>1677</v>
      </c>
      <c r="J32" s="92" t="inlineStr">
        <is>
          <t>● ON CORE</t>
        </is>
      </c>
      <c r="K32" s="305" t="n">
        <v>2</v>
      </c>
      <c r="L32" s="107" t="n">
        <v>1</v>
      </c>
      <c r="M32" s="301" t="n"/>
      <c r="N32" s="301" t="n"/>
      <c r="O32" s="301" t="n"/>
      <c r="P32" s="301" t="n"/>
      <c r="Q32" s="301" t="n"/>
      <c r="R32" s="301" t="n"/>
      <c r="S32" s="301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363">
      <c r="A33" s="91" t="inlineStr">
        <is>
          <t>Feb</t>
        </is>
      </c>
      <c r="B33" s="303" t="n">
        <v>21554</v>
      </c>
      <c r="C33" s="303" t="n">
        <v>7544</v>
      </c>
      <c r="D33" s="304" t="n">
        <v>3</v>
      </c>
      <c r="E33" s="304" t="n">
        <v>2</v>
      </c>
      <c r="F33" s="308" t="n">
        <v>1</v>
      </c>
      <c r="G33" s="309" t="n">
        <v>3.7</v>
      </c>
      <c r="H33" s="303" t="n">
        <v>8721</v>
      </c>
      <c r="I33" s="307" t="n">
        <v>1677</v>
      </c>
      <c r="J33" s="92" t="inlineStr">
        <is>
          <t>● ON CORE</t>
        </is>
      </c>
      <c r="K33" s="305" t="n">
        <v>2</v>
      </c>
      <c r="L33" s="107" t="n">
        <v>1</v>
      </c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91" t="inlineStr">
        <is>
          <t>Mar</t>
        </is>
      </c>
      <c r="B34" s="303" t="n">
        <v>22822</v>
      </c>
      <c r="C34" s="303" t="n">
        <v>7988</v>
      </c>
      <c r="D34" s="304" t="n">
        <v>3</v>
      </c>
      <c r="E34" s="304" t="n">
        <v>2</v>
      </c>
      <c r="F34" s="308" t="n">
        <v>1</v>
      </c>
      <c r="G34" s="309" t="n">
        <v>3.9</v>
      </c>
      <c r="H34" s="303" t="n">
        <v>8791</v>
      </c>
      <c r="I34" s="307" t="n">
        <v>1677</v>
      </c>
      <c r="J34" s="92" t="inlineStr">
        <is>
          <t>● ON CORE</t>
        </is>
      </c>
      <c r="K34" s="305" t="n">
        <v>2</v>
      </c>
      <c r="L34" s="107" t="n">
        <v>1</v>
      </c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363">
      <c r="A35" s="310" t="inlineStr">
        <is>
          <t>Apr</t>
        </is>
      </c>
      <c r="B35" s="311" t="n">
        <v>24090</v>
      </c>
      <c r="C35" s="311" t="n">
        <v>8432</v>
      </c>
      <c r="D35" s="312" t="n">
        <v>3</v>
      </c>
      <c r="E35" s="304" t="n">
        <v>2</v>
      </c>
      <c r="F35" s="308" t="n">
        <v>1</v>
      </c>
      <c r="G35" s="306" t="n">
        <v>4.1</v>
      </c>
      <c r="H35" s="311" t="n">
        <v>8861</v>
      </c>
      <c r="I35" s="307" t="n">
        <v>1677</v>
      </c>
      <c r="J35" s="93" t="inlineStr">
        <is>
          <t>▲ SEASONAL ACTIVE</t>
        </is>
      </c>
      <c r="K35" s="305" t="n">
        <v>2</v>
      </c>
      <c r="L35" s="107" t="n">
        <v>1</v>
      </c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363">
      <c r="A36" s="310" t="inlineStr">
        <is>
          <t>May</t>
        </is>
      </c>
      <c r="B36" s="311" t="n">
        <v>25358</v>
      </c>
      <c r="C36" s="311" t="n">
        <v>8875</v>
      </c>
      <c r="D36" s="312" t="n">
        <v>4</v>
      </c>
      <c r="E36" s="304" t="n">
        <v>2</v>
      </c>
      <c r="F36" s="308" t="n">
        <v>2</v>
      </c>
      <c r="G36" s="313" t="n">
        <v>3.2</v>
      </c>
      <c r="H36" s="311" t="n">
        <v>10609</v>
      </c>
      <c r="I36" s="349" t="n">
        <v>0</v>
      </c>
      <c r="J36" s="93" t="inlineStr">
        <is>
          <t>▲ SEASONAL ACTIVE</t>
        </is>
      </c>
      <c r="K36" s="305" t="n">
        <v>2</v>
      </c>
      <c r="L36" s="107" t="n">
        <v>2</v>
      </c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363">
      <c r="A37" s="310" t="inlineStr">
        <is>
          <t>Jun</t>
        </is>
      </c>
      <c r="B37" s="311" t="n">
        <v>27894</v>
      </c>
      <c r="C37" s="311" t="n">
        <v>9763</v>
      </c>
      <c r="D37" s="312" t="n">
        <v>4</v>
      </c>
      <c r="E37" s="304" t="n">
        <v>2</v>
      </c>
      <c r="F37" s="308" t="n">
        <v>2</v>
      </c>
      <c r="G37" s="313" t="n">
        <v>3.6</v>
      </c>
      <c r="H37" s="311" t="n">
        <v>10750</v>
      </c>
      <c r="I37" s="349" t="n">
        <v>0</v>
      </c>
      <c r="J37" s="93" t="inlineStr">
        <is>
          <t>▲ SEASONAL ACTIVE</t>
        </is>
      </c>
      <c r="K37" s="305" t="n">
        <v>2</v>
      </c>
      <c r="L37" s="107" t="n">
        <v>2</v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310" t="inlineStr">
        <is>
          <t>Jul</t>
        </is>
      </c>
      <c r="B38" s="311" t="n">
        <v>30430</v>
      </c>
      <c r="C38" s="311" t="n">
        <v>10650</v>
      </c>
      <c r="D38" s="312" t="n">
        <v>4</v>
      </c>
      <c r="E38" s="304" t="n">
        <v>2</v>
      </c>
      <c r="F38" s="308" t="n">
        <v>2</v>
      </c>
      <c r="G38" s="313" t="n">
        <v>3.9</v>
      </c>
      <c r="H38" s="311" t="n">
        <v>10892</v>
      </c>
      <c r="I38" s="349" t="n">
        <v>0</v>
      </c>
      <c r="J38" s="93" t="inlineStr">
        <is>
          <t>▲ SEASONAL ACTIVE</t>
        </is>
      </c>
      <c r="K38" s="305" t="n">
        <v>2</v>
      </c>
      <c r="L38" s="107" t="n">
        <v>2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310" t="inlineStr">
        <is>
          <t>Aug</t>
        </is>
      </c>
      <c r="B39" s="311" t="n">
        <v>31698</v>
      </c>
      <c r="C39" s="311" t="n">
        <v>11094</v>
      </c>
      <c r="D39" s="312" t="n">
        <v>4</v>
      </c>
      <c r="E39" s="304" t="n">
        <v>2</v>
      </c>
      <c r="F39" s="308" t="n">
        <v>2</v>
      </c>
      <c r="G39" s="306" t="n">
        <v>4.1</v>
      </c>
      <c r="H39" s="311" t="n">
        <v>10963</v>
      </c>
      <c r="I39" s="349" t="n">
        <v>0</v>
      </c>
      <c r="J39" s="93" t="inlineStr">
        <is>
          <t>▲ SEASONAL ACTIVE</t>
        </is>
      </c>
      <c r="K39" s="305" t="n">
        <v>2</v>
      </c>
      <c r="L39" s="107" t="n">
        <v>2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310" t="inlineStr">
        <is>
          <t>Sep</t>
        </is>
      </c>
      <c r="B40" s="311" t="n">
        <v>27894</v>
      </c>
      <c r="C40" s="311" t="n">
        <v>9763</v>
      </c>
      <c r="D40" s="312" t="n">
        <v>4</v>
      </c>
      <c r="E40" s="304" t="n">
        <v>2</v>
      </c>
      <c r="F40" s="308" t="n">
        <v>2</v>
      </c>
      <c r="G40" s="313" t="n">
        <v>3.6</v>
      </c>
      <c r="H40" s="311" t="n">
        <v>10750</v>
      </c>
      <c r="I40" s="349" t="n">
        <v>0</v>
      </c>
      <c r="J40" s="93" t="inlineStr">
        <is>
          <t>▲ SEASONAL ACTIVE</t>
        </is>
      </c>
      <c r="K40" s="305" t="n">
        <v>2</v>
      </c>
      <c r="L40" s="107" t="n">
        <v>2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310" t="inlineStr">
        <is>
          <t>Oct</t>
        </is>
      </c>
      <c r="B41" s="311" t="n">
        <v>25358</v>
      </c>
      <c r="C41" s="311" t="n">
        <v>8875</v>
      </c>
      <c r="D41" s="312" t="n">
        <v>4</v>
      </c>
      <c r="E41" s="304" t="n">
        <v>2</v>
      </c>
      <c r="F41" s="308" t="n">
        <v>2</v>
      </c>
      <c r="G41" s="313" t="n">
        <v>3.2</v>
      </c>
      <c r="H41" s="311" t="n">
        <v>10609</v>
      </c>
      <c r="I41" s="349" t="n">
        <v>0</v>
      </c>
      <c r="J41" s="93" t="inlineStr">
        <is>
          <t>▲ SEASONAL ACTIVE</t>
        </is>
      </c>
      <c r="K41" s="305" t="n">
        <v>2</v>
      </c>
      <c r="L41" s="107" t="n">
        <v>2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91" t="inlineStr">
        <is>
          <t>Nov</t>
        </is>
      </c>
      <c r="B42" s="303" t="n">
        <v>22822</v>
      </c>
      <c r="C42" s="303" t="n">
        <v>7988</v>
      </c>
      <c r="D42" s="304" t="n">
        <v>3</v>
      </c>
      <c r="E42" s="304" t="n">
        <v>2</v>
      </c>
      <c r="F42" s="308" t="n">
        <v>1</v>
      </c>
      <c r="G42" s="309" t="n">
        <v>3.9</v>
      </c>
      <c r="H42" s="303" t="n">
        <v>8791</v>
      </c>
      <c r="I42" s="307" t="n">
        <v>1677</v>
      </c>
      <c r="J42" s="92" t="inlineStr">
        <is>
          <t>● ON CORE</t>
        </is>
      </c>
      <c r="K42" s="305" t="n">
        <v>2</v>
      </c>
      <c r="L42" s="107" t="n">
        <v>1</v>
      </c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18" customHeight="1" s="363">
      <c r="A43" s="91" t="inlineStr">
        <is>
          <t>Dec</t>
        </is>
      </c>
      <c r="B43" s="303" t="n">
        <v>24090</v>
      </c>
      <c r="C43" s="303" t="n">
        <v>8432</v>
      </c>
      <c r="D43" s="304" t="n">
        <v>3</v>
      </c>
      <c r="E43" s="304" t="n">
        <v>2</v>
      </c>
      <c r="F43" s="308" t="n">
        <v>1</v>
      </c>
      <c r="G43" s="306" t="n">
        <v>4.1</v>
      </c>
      <c r="H43" s="303" t="n">
        <v>8861</v>
      </c>
      <c r="I43" s="307" t="n">
        <v>1677</v>
      </c>
      <c r="J43" s="92" t="inlineStr">
        <is>
          <t>● ON CORE</t>
        </is>
      </c>
      <c r="K43" s="305" t="n">
        <v>2</v>
      </c>
      <c r="L43" s="107" t="n">
        <v>1</v>
      </c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21.75" customHeight="1" s="363">
      <c r="A44" s="9" t="inlineStr">
        <is>
          <t>ANNUAL TOTAL</t>
        </is>
      </c>
      <c r="B44" s="55" t="n">
        <v>304296</v>
      </c>
      <c r="C44" s="55" t="n">
        <v>106504</v>
      </c>
      <c r="D44" s="314" t="n"/>
      <c r="E44" s="314" t="n"/>
      <c r="F44" s="314" t="n"/>
      <c r="G44" s="314" t="n"/>
      <c r="H44" s="55" t="n">
        <v>117247</v>
      </c>
      <c r="I44" s="307" t="n">
        <v>10062</v>
      </c>
      <c r="J44" s="314" t="n"/>
      <c r="K44" s="314" t="n"/>
      <c r="L44" s="314" t="n"/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21.75" customHeight="1" s="363">
      <c r="A45" s="301" t="n"/>
      <c r="B45" s="301" t="n"/>
      <c r="C45" s="301" t="n"/>
      <c r="D45" s="301" t="n"/>
      <c r="E45" s="301" t="n"/>
      <c r="F45" s="301" t="n"/>
      <c r="G45" s="301" t="n"/>
      <c r="H45" s="301" t="n"/>
      <c r="I45" s="301" t="n"/>
      <c r="J45" s="301" t="n"/>
      <c r="K45" s="301" t="n"/>
      <c r="L45" s="301" t="n"/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19.5" customHeight="1" s="363">
      <c r="A46" s="436" t="inlineStr">
        <is>
          <t>SEASONAL STAFF ROSTER  —  Core = permanent contract  |  Seasonal = fixed-term Apr–Oct</t>
        </is>
      </c>
      <c r="B46" s="398" t="n"/>
      <c r="C46" s="398" t="n"/>
      <c r="D46" s="398" t="n"/>
      <c r="E46" s="398" t="n"/>
      <c r="F46" s="398" t="n"/>
      <c r="G46" s="398" t="n"/>
      <c r="H46" s="398" t="n"/>
      <c r="I46" s="398" t="n"/>
      <c r="J46" s="398" t="n"/>
      <c r="K46" s="398" t="n"/>
      <c r="L46" s="399" t="n"/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19.5" customHeight="1" s="363">
      <c r="A47" s="103" t="inlineStr">
        <is>
          <t>Name</t>
        </is>
      </c>
      <c r="B47" s="103" t="inlineStr">
        <is>
          <t>Contract Type</t>
        </is>
      </c>
      <c r="C47" s="103" t="inlineStr">
        <is>
          <t>Active</t>
        </is>
      </c>
      <c r="D47" s="103" t="inlineStr">
        <is>
          <t>Notes</t>
        </is>
      </c>
      <c r="E47" s="316" t="n"/>
      <c r="F47" s="316" t="n"/>
      <c r="G47" s="316" t="n"/>
      <c r="H47" s="316" t="n"/>
      <c r="I47" s="316" t="n"/>
      <c r="J47" s="316" t="n"/>
      <c r="K47" s="316" t="n"/>
      <c r="L47" s="316" t="n"/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363">
      <c r="A48" s="91" t="inlineStr">
        <is>
          <t>T1 — Amara</t>
        </is>
      </c>
      <c r="B48" s="317" t="inlineStr">
        <is>
          <t>Permanent</t>
        </is>
      </c>
      <c r="C48" s="317" t="inlineStr">
        <is>
          <t>Year-round</t>
        </is>
      </c>
      <c r="D48" s="318" t="inlineStr">
        <is>
          <t>Core team</t>
        </is>
      </c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363">
      <c r="A49" s="91" t="inlineStr">
        <is>
          <t>T2 — Lucia</t>
        </is>
      </c>
      <c r="B49" s="317" t="inlineStr">
        <is>
          <t>Permanent</t>
        </is>
      </c>
      <c r="C49" s="317" t="inlineStr">
        <is>
          <t>Year-round</t>
        </is>
      </c>
      <c r="D49" s="318" t="inlineStr">
        <is>
          <t>Core team</t>
        </is>
      </c>
      <c r="E49" s="319" t="n"/>
      <c r="F49" s="319" t="n"/>
      <c r="G49" s="319" t="n"/>
      <c r="H49" s="319" t="n"/>
      <c r="I49" s="319" t="n"/>
      <c r="J49" s="319" t="n"/>
      <c r="K49" s="319" t="n"/>
      <c r="L49" s="319" t="n"/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18" customHeight="1" s="363">
      <c r="A50" s="320" t="inlineStr">
        <is>
          <t>T3 — Priya (seasonal)</t>
        </is>
      </c>
      <c r="B50" s="321" t="inlineStr">
        <is>
          <t>Fixed-term seasonal</t>
        </is>
      </c>
      <c r="C50" s="321" t="inlineStr">
        <is>
          <t>Apr 1 – Oct 31</t>
        </is>
      </c>
      <c r="D50" s="322" t="inlineStr">
        <is>
          <t>Recruit by Feb 15</t>
        </is>
      </c>
      <c r="E50" s="323" t="n"/>
      <c r="F50" s="323" t="n"/>
      <c r="G50" s="323" t="n"/>
      <c r="H50" s="323" t="n"/>
      <c r="I50" s="323" t="n"/>
      <c r="J50" s="323" t="n"/>
      <c r="K50" s="323" t="n"/>
      <c r="L50" s="323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18" customHeight="1" s="363">
      <c r="A51" s="320" t="inlineStr">
        <is>
          <t>T4 — Lena (seasonal)</t>
        </is>
      </c>
      <c r="B51" s="321" t="inlineStr">
        <is>
          <t>Fixed-term seasonal</t>
        </is>
      </c>
      <c r="C51" s="321" t="inlineStr">
        <is>
          <t>Apr 1 – Oct 31</t>
        </is>
      </c>
      <c r="D51" s="322" t="inlineStr">
        <is>
          <t>Recruit by Feb 15</t>
        </is>
      </c>
      <c r="E51" s="323" t="n"/>
      <c r="F51" s="323" t="n"/>
      <c r="G51" s="323" t="n"/>
      <c r="H51" s="323" t="n"/>
      <c r="I51" s="323" t="n"/>
      <c r="J51" s="323" t="n"/>
      <c r="K51" s="323" t="n"/>
      <c r="L51" s="323" t="n"/>
      <c r="M51" s="301" t="n"/>
      <c r="N51" s="301" t="n"/>
      <c r="O51" s="301" t="n"/>
      <c r="P51" s="301" t="n"/>
      <c r="Q51" s="301" t="n"/>
      <c r="R51" s="301" t="n"/>
      <c r="S51" s="301" t="n"/>
      <c r="T51" s="7" t="n"/>
      <c r="U51" s="7" t="n"/>
      <c r="V51" s="7" t="n"/>
      <c r="W51" s="7" t="n"/>
      <c r="X51" s="7" t="n"/>
      <c r="Y51" s="7" t="n"/>
      <c r="Z51" s="7" t="n"/>
    </row>
    <row r="52" ht="18" customHeight="1" s="363">
      <c r="A52" s="301" t="n"/>
      <c r="B52" s="301" t="n"/>
      <c r="C52" s="301" t="n"/>
      <c r="D52" s="301" t="n"/>
      <c r="E52" s="301" t="n"/>
      <c r="F52" s="301" t="n"/>
      <c r="G52" s="301" t="n"/>
      <c r="H52" s="301" t="n"/>
      <c r="I52" s="301" t="n"/>
      <c r="J52" s="301" t="n"/>
      <c r="K52" s="301" t="n"/>
      <c r="L52" s="301" t="n"/>
      <c r="M52" s="301" t="n"/>
      <c r="N52" s="301" t="n"/>
      <c r="O52" s="301" t="n"/>
      <c r="P52" s="301" t="n"/>
      <c r="Q52" s="301" t="n"/>
      <c r="R52" s="301" t="n"/>
      <c r="S52" s="301" t="n"/>
      <c r="T52" s="7" t="n"/>
      <c r="U52" s="7" t="n"/>
      <c r="V52" s="7" t="n"/>
      <c r="W52" s="7" t="n"/>
      <c r="X52" s="7" t="n"/>
      <c r="Y52" s="7" t="n"/>
      <c r="Z52" s="7" t="n"/>
    </row>
    <row r="53" ht="21.75" customHeight="1" s="363">
      <c r="A53" s="262" t="inlineStr">
        <is>
          <t>T:R RATIO QC  —  THERAPIST · RECEPTION HC SPEND RECONCILIATION  |  Validates that cost allocation by role is within industry benchmarks</t>
        </is>
      </c>
      <c r="B53" s="398" t="n"/>
      <c r="C53" s="398" t="n"/>
      <c r="D53" s="398" t="n"/>
      <c r="E53" s="398" t="n"/>
      <c r="F53" s="398" t="n"/>
      <c r="G53" s="398" t="n"/>
      <c r="H53" s="398" t="n"/>
      <c r="I53" s="398" t="n"/>
      <c r="J53" s="398" t="n"/>
      <c r="K53" s="398" t="n"/>
      <c r="L53" s="399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30" customHeight="1" s="363">
      <c r="A54" s="17" t="inlineStr">
        <is>
          <t>Role / Category</t>
        </is>
      </c>
      <c r="B54" s="17" t="inlineStr">
        <is>
          <t>Avg Annual
FTEs</t>
        </is>
      </c>
      <c r="C54" s="17" t="inlineStr">
        <is>
          <t>Annual Cost (€)</t>
        </is>
      </c>
      <c r="D54" s="17" t="inlineStr">
        <is>
          <t>% of Total
Dynamic HC</t>
        </is>
      </c>
      <c r="E54" s="17" t="inlineStr">
        <is>
          <t>Industry
Benchmark</t>
        </is>
      </c>
      <c r="F54" s="17" t="inlineStr">
        <is>
          <t>QC Status</t>
        </is>
      </c>
      <c r="G54" s="324" t="n"/>
      <c r="H54" s="324" t="n"/>
      <c r="I54" s="324" t="n"/>
      <c r="J54" s="324" t="n"/>
      <c r="K54" s="324" t="n"/>
      <c r="L54" s="324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91" t="inlineStr">
        <is>
          <t>Therapists (T)</t>
        </is>
      </c>
      <c r="B55" s="325" t="inlineStr">
        <is>
          <t>3.5</t>
        </is>
      </c>
      <c r="C55" s="303" t="n">
        <v>70434</v>
      </c>
      <c r="D55" s="326" t="n">
        <v>0.6007317884466127</v>
      </c>
      <c r="E55" s="327" t="inlineStr">
        <is>
          <t>60% – 85%</t>
        </is>
      </c>
      <c r="F55" s="328" t="inlineStr">
        <is>
          <t>✓  T = 60.1% of total HC</t>
        </is>
      </c>
      <c r="G55" s="329" t="n"/>
      <c r="H55" s="329" t="n"/>
      <c r="I55" s="329" t="n"/>
      <c r="J55" s="329" t="n"/>
      <c r="K55" s="329" t="n"/>
      <c r="L55" s="329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8" customHeight="1" s="363">
      <c r="A56" s="330" t="inlineStr">
        <is>
          <t>Reception (R)</t>
        </is>
      </c>
      <c r="B56" s="331" t="inlineStr">
        <is>
          <t>1</t>
        </is>
      </c>
      <c r="C56" s="28" t="n">
        <v>18780</v>
      </c>
      <c r="D56" s="326" t="n">
        <v>0.1601746739788651</v>
      </c>
      <c r="E56" s="332" t="inlineStr">
        <is>
          <t>7% – 20%</t>
        </is>
      </c>
      <c r="F56" s="328" t="inlineStr">
        <is>
          <t>✓  R = 16.0% of total HC</t>
        </is>
      </c>
      <c r="G56" s="333" t="n"/>
      <c r="H56" s="333" t="n"/>
      <c r="I56" s="333" t="n"/>
      <c r="J56" s="333" t="n"/>
      <c r="K56" s="333" t="n"/>
      <c r="L56" s="333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8" customHeight="1" s="363">
      <c r="A57" s="334" t="inlineStr">
        <is>
          <t>Relationship Manager (RM)</t>
        </is>
      </c>
      <c r="B57" s="335" t="inlineStr">
        <is>
          <t>33% FTE</t>
        </is>
      </c>
      <c r="C57" s="336" t="n">
        <v>11064</v>
      </c>
      <c r="D57" s="326" t="n">
        <v>0.09436488780096719</v>
      </c>
      <c r="E57" s="337" t="inlineStr">
        <is>
          <t>3% – 10%</t>
        </is>
      </c>
      <c r="F57" s="328" t="inlineStr">
        <is>
          <t>✓  RM = 9.4% of total HC</t>
        </is>
      </c>
      <c r="G57" s="338" t="n"/>
      <c r="H57" s="338" t="n"/>
      <c r="I57" s="338" t="n"/>
      <c r="J57" s="338" t="n"/>
      <c r="K57" s="338" t="n"/>
      <c r="L57" s="338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8" customHeight="1" s="363">
      <c r="A58" s="339" t="inlineStr">
        <is>
          <t>Variable Commissions</t>
        </is>
      </c>
      <c r="B58" s="340" t="inlineStr">
        <is>
          <t>—</t>
        </is>
      </c>
      <c r="C58" s="341" t="n">
        <v>16969</v>
      </c>
      <c r="D58" s="342" t="n">
        <v>0.144728649773555</v>
      </c>
      <c r="E58" s="340" t="inlineStr">
        <is>
          <t>—</t>
        </is>
      </c>
      <c r="F58" s="339" t="inlineStr">
        <is>
          <t>Treatment + retail performance bonuses</t>
        </is>
      </c>
      <c r="G58" s="343" t="n"/>
      <c r="H58" s="343" t="n"/>
      <c r="I58" s="343" t="n"/>
      <c r="J58" s="343" t="n"/>
      <c r="K58" s="343" t="n"/>
      <c r="L58" s="343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21.75" customHeight="1" s="363">
      <c r="A59" s="262" t="inlineStr">
        <is>
          <t>TOTAL DYNAMIC HC</t>
        </is>
      </c>
      <c r="B59" s="344" t="inlineStr">
        <is>
          <t>—</t>
        </is>
      </c>
      <c r="C59" s="55" t="n">
        <v>117247</v>
      </c>
      <c r="D59" s="9" t="inlineStr">
        <is>
          <t>100.0%</t>
        </is>
      </c>
      <c r="E59" s="56" t="n"/>
      <c r="F59" s="56" t="n"/>
      <c r="G59" s="56" t="n"/>
      <c r="H59" s="56" t="n"/>
      <c r="I59" s="56" t="n"/>
      <c r="J59" s="56" t="n"/>
      <c r="K59" s="56" t="n"/>
      <c r="L59" s="56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9.5" customHeight="1" s="363">
      <c r="A60" s="345" t="inlineStr">
        <is>
          <t>T:R Headcount Ratio</t>
        </is>
      </c>
      <c r="B60" s="346" t="inlineStr">
        <is>
          <t>3.5 : 1</t>
        </is>
      </c>
      <c r="C60" s="347" t="inlineStr">
        <is>
          <t>Avg 3.5 therapists : 1 receptionist(s)</t>
        </is>
      </c>
      <c r="D60" s="306" t="n">
        <v>3.5</v>
      </c>
      <c r="E60" s="257" t="inlineStr">
        <is>
          <t>3:1 – 7:1</t>
        </is>
      </c>
      <c r="F60" s="328" t="inlineStr">
        <is>
          <t>✓  Ratio 3.5:1 — healthy</t>
        </is>
      </c>
      <c r="G60" s="324" t="n"/>
      <c r="H60" s="324" t="n"/>
      <c r="I60" s="324" t="n"/>
      <c r="J60" s="324" t="n"/>
      <c r="K60" s="324" t="n"/>
      <c r="L60" s="324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9.5" customHeight="1" s="363">
      <c r="A61" s="345" t="inlineStr">
        <is>
          <t>T:R Spend Ratio (€)</t>
        </is>
      </c>
      <c r="B61" s="346" t="inlineStr">
        <is>
          <t>3.8×</t>
        </is>
      </c>
      <c r="C61" s="347" t="inlineStr">
        <is>
          <t>For every €1 in reception cost, €3.8 spent on therapists</t>
        </is>
      </c>
      <c r="D61" s="306" t="n">
        <v>3.750479233226837</v>
      </c>
      <c r="E61" s="257" t="inlineStr">
        <is>
          <t>3× – 8×</t>
        </is>
      </c>
      <c r="F61" s="328" t="inlineStr">
        <is>
          <t>✓  Spend ratio 3.8× — healthy</t>
        </is>
      </c>
      <c r="G61" s="324" t="n"/>
      <c r="H61" s="324" t="n"/>
      <c r="I61" s="324" t="n"/>
      <c r="J61" s="324" t="n"/>
      <c r="K61" s="324" t="n"/>
      <c r="L61" s="324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8">
    <mergeCell ref="A30:L30"/>
    <mergeCell ref="A1:J1"/>
    <mergeCell ref="A46:L46"/>
    <mergeCell ref="A4:J4"/>
    <mergeCell ref="A20:J20"/>
    <mergeCell ref="A2:J2"/>
    <mergeCell ref="A53:L53"/>
    <mergeCell ref="A62:L62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EXCELSIOR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€291,156  |  Monthly avg: €24,263  |  Receptionists: 1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19410</v>
      </c>
      <c r="C6" s="54" t="n">
        <v>7764</v>
      </c>
      <c r="D6" s="54" t="n">
        <v>5170</v>
      </c>
      <c r="E6" s="29" t="n">
        <v>2</v>
      </c>
      <c r="F6" s="54" t="n">
        <v>1565</v>
      </c>
      <c r="G6" s="29" t="n">
        <v>1</v>
      </c>
      <c r="H6" s="54" t="n">
        <v>1029</v>
      </c>
      <c r="I6" s="54" t="n">
        <v>0</v>
      </c>
      <c r="J6" s="54" t="n">
        <v>7764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20624</v>
      </c>
      <c r="C7" s="289" t="n">
        <v>8250</v>
      </c>
      <c r="D7" s="289" t="n">
        <v>5650</v>
      </c>
      <c r="E7" s="290" t="n">
        <v>2</v>
      </c>
      <c r="F7" s="289" t="n">
        <v>1565</v>
      </c>
      <c r="G7" s="290" t="n">
        <v>1</v>
      </c>
      <c r="H7" s="289" t="n">
        <v>1035</v>
      </c>
      <c r="I7" s="289" t="n">
        <v>0</v>
      </c>
      <c r="J7" s="289" t="n">
        <v>8250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21837</v>
      </c>
      <c r="C8" s="54" t="n">
        <v>8735</v>
      </c>
      <c r="D8" s="54" t="n">
        <v>6129</v>
      </c>
      <c r="E8" s="29" t="n">
        <v>2</v>
      </c>
      <c r="F8" s="54" t="n">
        <v>1565</v>
      </c>
      <c r="G8" s="29" t="n">
        <v>1</v>
      </c>
      <c r="H8" s="54" t="n">
        <v>1041</v>
      </c>
      <c r="I8" s="54" t="n">
        <v>0</v>
      </c>
      <c r="J8" s="54" t="n">
        <v>8735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23050</v>
      </c>
      <c r="C9" s="289" t="n">
        <v>9220</v>
      </c>
      <c r="D9" s="289" t="n">
        <v>6608</v>
      </c>
      <c r="E9" s="290" t="n">
        <v>3</v>
      </c>
      <c r="F9" s="289" t="n">
        <v>1565</v>
      </c>
      <c r="G9" s="290" t="n">
        <v>1</v>
      </c>
      <c r="H9" s="289" t="n">
        <v>1047</v>
      </c>
      <c r="I9" s="289" t="n">
        <v>0</v>
      </c>
      <c r="J9" s="289" t="n">
        <v>9220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24263</v>
      </c>
      <c r="C10" s="54" t="n">
        <v>9705</v>
      </c>
      <c r="D10" s="54" t="n">
        <v>7087</v>
      </c>
      <c r="E10" s="29" t="n">
        <v>3</v>
      </c>
      <c r="F10" s="54" t="n">
        <v>1565</v>
      </c>
      <c r="G10" s="29" t="n">
        <v>1</v>
      </c>
      <c r="H10" s="54" t="n">
        <v>1053</v>
      </c>
      <c r="I10" s="54" t="n">
        <v>0</v>
      </c>
      <c r="J10" s="54" t="n">
        <v>9705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26689</v>
      </c>
      <c r="C11" s="289" t="n">
        <v>10676</v>
      </c>
      <c r="D11" s="289" t="n">
        <v>8046</v>
      </c>
      <c r="E11" s="290" t="n">
        <v>3</v>
      </c>
      <c r="F11" s="289" t="n">
        <v>1565</v>
      </c>
      <c r="G11" s="290" t="n">
        <v>1</v>
      </c>
      <c r="H11" s="289" t="n">
        <v>1065</v>
      </c>
      <c r="I11" s="289" t="n">
        <v>0</v>
      </c>
      <c r="J11" s="289" t="n">
        <v>10676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29116</v>
      </c>
      <c r="C12" s="54" t="n">
        <v>11646</v>
      </c>
      <c r="D12" s="54" t="n">
        <v>9003</v>
      </c>
      <c r="E12" s="29" t="n">
        <v>4</v>
      </c>
      <c r="F12" s="54" t="n">
        <v>1565</v>
      </c>
      <c r="G12" s="29" t="n">
        <v>1</v>
      </c>
      <c r="H12" s="54" t="n">
        <v>1078</v>
      </c>
      <c r="I12" s="54" t="n">
        <v>0</v>
      </c>
      <c r="J12" s="54" t="n">
        <v>11646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30329</v>
      </c>
      <c r="C13" s="289" t="n">
        <v>12132</v>
      </c>
      <c r="D13" s="289" t="n">
        <v>9483</v>
      </c>
      <c r="E13" s="290" t="n">
        <v>4</v>
      </c>
      <c r="F13" s="289" t="n">
        <v>1565</v>
      </c>
      <c r="G13" s="290" t="n">
        <v>1</v>
      </c>
      <c r="H13" s="289" t="n">
        <v>1084</v>
      </c>
      <c r="I13" s="289" t="n">
        <v>0</v>
      </c>
      <c r="J13" s="289" t="n">
        <v>12132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26689</v>
      </c>
      <c r="C14" s="54" t="n">
        <v>10676</v>
      </c>
      <c r="D14" s="54" t="n">
        <v>8046</v>
      </c>
      <c r="E14" s="29" t="n">
        <v>3</v>
      </c>
      <c r="F14" s="54" t="n">
        <v>1565</v>
      </c>
      <c r="G14" s="29" t="n">
        <v>1</v>
      </c>
      <c r="H14" s="54" t="n">
        <v>1065</v>
      </c>
      <c r="I14" s="54" t="n">
        <v>0</v>
      </c>
      <c r="J14" s="54" t="n">
        <v>10676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24263</v>
      </c>
      <c r="C15" s="289" t="n">
        <v>9705</v>
      </c>
      <c r="D15" s="289" t="n">
        <v>7087</v>
      </c>
      <c r="E15" s="290" t="n">
        <v>3</v>
      </c>
      <c r="F15" s="289" t="n">
        <v>1565</v>
      </c>
      <c r="G15" s="290" t="n">
        <v>1</v>
      </c>
      <c r="H15" s="289" t="n">
        <v>1053</v>
      </c>
      <c r="I15" s="289" t="n">
        <v>0</v>
      </c>
      <c r="J15" s="289" t="n">
        <v>9705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21837</v>
      </c>
      <c r="C16" s="54" t="n">
        <v>8735</v>
      </c>
      <c r="D16" s="54" t="n">
        <v>6129</v>
      </c>
      <c r="E16" s="29" t="n">
        <v>2</v>
      </c>
      <c r="F16" s="54" t="n">
        <v>1565</v>
      </c>
      <c r="G16" s="29" t="n">
        <v>1</v>
      </c>
      <c r="H16" s="54" t="n">
        <v>1041</v>
      </c>
      <c r="I16" s="54" t="n">
        <v>0</v>
      </c>
      <c r="J16" s="54" t="n">
        <v>8735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23050</v>
      </c>
      <c r="C17" s="289" t="n">
        <v>9220</v>
      </c>
      <c r="D17" s="289" t="n">
        <v>6608</v>
      </c>
      <c r="E17" s="290" t="n">
        <v>3</v>
      </c>
      <c r="F17" s="289" t="n">
        <v>1565</v>
      </c>
      <c r="G17" s="290" t="n">
        <v>1</v>
      </c>
      <c r="H17" s="289" t="n">
        <v>1047</v>
      </c>
      <c r="I17" s="289" t="n">
        <v>0</v>
      </c>
      <c r="J17" s="289" t="n">
        <v>9220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291157</v>
      </c>
      <c r="C18" s="292" t="n">
        <v>116464</v>
      </c>
      <c r="D18" s="292" t="n">
        <v>85046</v>
      </c>
      <c r="E18" s="293" t="n"/>
      <c r="F18" s="292" t="n">
        <v>18780</v>
      </c>
      <c r="G18" s="293" t="n">
        <v>1</v>
      </c>
      <c r="H18" s="292" t="n">
        <v>12638</v>
      </c>
      <c r="I18" s="292" t="n">
        <v>0</v>
      </c>
      <c r="J18" s="292" t="n">
        <v>116464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Valentina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27" t="inlineStr">
        <is>
          <t>A</t>
        </is>
      </c>
      <c r="G22" s="127" t="inlineStr">
        <is>
          <t>A</t>
        </is>
      </c>
      <c r="H22" s="127" t="inlineStr">
        <is>
          <t>A</t>
        </is>
      </c>
      <c r="I22" s="127" t="inlineStr">
        <is>
          <t>A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Miriam</t>
        </is>
      </c>
      <c r="B23" s="300" t="inlineStr">
        <is>
          <t>Therapist</t>
        </is>
      </c>
      <c r="C23" s="126" t="inlineStr">
        <is>
          <t>OFF</t>
        </is>
      </c>
      <c r="D23" s="126" t="inlineStr">
        <is>
          <t>OFF</t>
        </is>
      </c>
      <c r="E23" s="137" t="inlineStr">
        <is>
          <t>B</t>
        </is>
      </c>
      <c r="F23" s="137" t="inlineStr">
        <is>
          <t>B</t>
        </is>
      </c>
      <c r="G23" s="137" t="inlineStr">
        <is>
          <t>B</t>
        </is>
      </c>
      <c r="H23" s="137" t="inlineStr">
        <is>
          <t>B</t>
        </is>
      </c>
      <c r="I23" s="137" t="inlineStr">
        <is>
          <t>B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T3 — Fatima</t>
        </is>
      </c>
      <c r="B24" s="298" t="inlineStr">
        <is>
          <t>Therapist</t>
        </is>
      </c>
      <c r="C24" s="127" t="inlineStr">
        <is>
          <t>A</t>
        </is>
      </c>
      <c r="D24" s="127" t="inlineStr">
        <is>
          <t>A</t>
        </is>
      </c>
      <c r="E24" s="126" t="inlineStr">
        <is>
          <t>OFF</t>
        </is>
      </c>
      <c r="F24" s="126" t="inlineStr">
        <is>
          <t>OFF</t>
        </is>
      </c>
      <c r="G24" s="127" t="inlineStr">
        <is>
          <t>A</t>
        </is>
      </c>
      <c r="H24" s="127" t="inlineStr">
        <is>
          <t>A</t>
        </is>
      </c>
      <c r="I24" s="127" t="inlineStr">
        <is>
          <t>A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162" t="inlineStr">
        <is>
          <t>T4 — Chiara</t>
        </is>
      </c>
      <c r="B25" s="300" t="inlineStr">
        <is>
          <t>Therapist</t>
        </is>
      </c>
      <c r="C25" s="137" t="inlineStr">
        <is>
          <t>B</t>
        </is>
      </c>
      <c r="D25" s="137" t="inlineStr">
        <is>
          <t>B</t>
        </is>
      </c>
      <c r="E25" s="126" t="inlineStr">
        <is>
          <t>OFF</t>
        </is>
      </c>
      <c r="F25" s="126" t="inlineStr">
        <is>
          <t>OFF</t>
        </is>
      </c>
      <c r="G25" s="137" t="inlineStr">
        <is>
          <t>B</t>
        </is>
      </c>
      <c r="H25" s="137" t="inlineStr">
        <is>
          <t>B</t>
        </is>
      </c>
      <c r="I25" s="137" t="inlineStr">
        <is>
          <t>B</t>
        </is>
      </c>
      <c r="J25" s="299" t="n">
        <v>5</v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297" t="inlineStr">
        <is>
          <t>R1 — Beatriz</t>
        </is>
      </c>
      <c r="B26" s="298" t="inlineStr">
        <is>
          <t>Receptionist</t>
        </is>
      </c>
      <c r="C26" s="126" t="inlineStr">
        <is>
          <t>OFF</t>
        </is>
      </c>
      <c r="D26" s="126" t="inlineStr">
        <is>
          <t>OFF</t>
        </is>
      </c>
      <c r="E26" s="127" t="inlineStr">
        <is>
          <t>A</t>
        </is>
      </c>
      <c r="F26" s="127" t="inlineStr">
        <is>
          <t>A</t>
        </is>
      </c>
      <c r="G26" s="127" t="inlineStr">
        <is>
          <t>A</t>
        </is>
      </c>
      <c r="H26" s="127" t="inlineStr">
        <is>
          <t>A</t>
        </is>
      </c>
      <c r="I26" s="127" t="inlineStr">
        <is>
          <t>A</t>
        </is>
      </c>
      <c r="J26" s="299" t="n">
        <v>5</v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 s="363">
      <c r="A27" s="301" t="n"/>
      <c r="B27" s="301" t="n"/>
      <c r="C27" s="301" t="n"/>
      <c r="D27" s="301" t="n"/>
      <c r="E27" s="301" t="n"/>
      <c r="F27" s="301" t="n"/>
      <c r="G27" s="301" t="n"/>
      <c r="H27" s="301" t="n"/>
      <c r="I27" s="301" t="n"/>
      <c r="J27" s="301" t="n"/>
      <c r="K27" s="301" t="n"/>
      <c r="L27" s="301" t="n"/>
      <c r="M27" s="301" t="n"/>
      <c r="N27" s="301" t="n"/>
      <c r="O27" s="301" t="n"/>
      <c r="P27" s="301" t="n"/>
      <c r="Q27" s="301" t="n"/>
      <c r="R27" s="301" t="n"/>
      <c r="S27" s="301" t="n"/>
      <c r="T27" s="7" t="n"/>
      <c r="U27" s="7" t="n"/>
      <c r="V27" s="7" t="n"/>
      <c r="W27" s="7" t="n"/>
      <c r="X27" s="7" t="n"/>
      <c r="Y27" s="7" t="n"/>
      <c r="Z27" s="7" t="n"/>
    </row>
    <row r="28" ht="13.5" customHeight="1" s="363">
      <c r="A28" s="301" t="n"/>
      <c r="B28" s="301" t="n"/>
      <c r="C28" s="301" t="n"/>
      <c r="D28" s="301" t="n"/>
      <c r="E28" s="301" t="n"/>
      <c r="F28" s="301" t="n"/>
      <c r="G28" s="301" t="n"/>
      <c r="H28" s="301" t="n"/>
      <c r="I28" s="301" t="n"/>
      <c r="J28" s="301" t="n"/>
      <c r="K28" s="301" t="n"/>
      <c r="L28" s="301" t="n"/>
      <c r="M28" s="301" t="n"/>
      <c r="N28" s="301" t="n"/>
      <c r="O28" s="301" t="n"/>
      <c r="P28" s="301" t="n"/>
      <c r="Q28" s="301" t="n"/>
      <c r="R28" s="301" t="n"/>
      <c r="S28" s="301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363">
      <c r="A29" s="301" t="n"/>
      <c r="B29" s="301" t="n"/>
      <c r="C29" s="301" t="n"/>
      <c r="D29" s="301" t="n"/>
      <c r="E29" s="301" t="n"/>
      <c r="F29" s="301" t="n"/>
      <c r="G29" s="301" t="n"/>
      <c r="H29" s="301" t="n"/>
      <c r="I29" s="301" t="n"/>
      <c r="J29" s="301" t="n"/>
      <c r="K29" s="301" t="n"/>
      <c r="L29" s="301" t="n"/>
      <c r="M29" s="301" t="n"/>
      <c r="N29" s="301" t="n"/>
      <c r="O29" s="301" t="n"/>
      <c r="P29" s="301" t="n"/>
      <c r="Q29" s="301" t="n"/>
      <c r="R29" s="301" t="n"/>
      <c r="S29" s="301" t="n"/>
      <c r="T29" s="7" t="n"/>
      <c r="U29" s="7" t="n"/>
      <c r="V29" s="7" t="n"/>
      <c r="W29" s="7" t="n"/>
      <c r="X29" s="7" t="n"/>
      <c r="Y29" s="7" t="n"/>
      <c r="Z29" s="7" t="n"/>
    </row>
    <row r="30" ht="21.75" customHeight="1" s="363">
      <c r="A30" s="435" t="inlineStr">
        <is>
          <t>DYNAMIC STAFFING MODEL  —  Demand-Adjusted Headcount  |  Core = Permanent (year-round)  |  Seasonal = Fixed-term (Apr–Oct)  |  Buffer: 20% above demand floor</t>
        </is>
      </c>
      <c r="B30" s="398" t="n"/>
      <c r="C30" s="398" t="n"/>
      <c r="D30" s="398" t="n"/>
      <c r="E30" s="398" t="n"/>
      <c r="F30" s="398" t="n"/>
      <c r="G30" s="398" t="n"/>
      <c r="H30" s="398" t="n"/>
      <c r="I30" s="398" t="n"/>
      <c r="J30" s="398" t="n"/>
      <c r="K30" s="398" t="n"/>
      <c r="L30" s="399" t="n"/>
      <c r="M30" s="301" t="n"/>
      <c r="N30" s="301" t="n"/>
      <c r="O30" s="301" t="n"/>
      <c r="P30" s="301" t="n"/>
      <c r="Q30" s="301" t="n"/>
      <c r="R30" s="301" t="n"/>
      <c r="S30" s="301" t="n"/>
      <c r="T30" s="7" t="n"/>
      <c r="U30" s="7" t="n"/>
      <c r="V30" s="7" t="n"/>
      <c r="W30" s="7" t="n"/>
      <c r="X30" s="7" t="n"/>
      <c r="Y30" s="7" t="n"/>
      <c r="Z30" s="7" t="n"/>
    </row>
    <row r="31" ht="30" customHeight="1" s="363">
      <c r="A31" s="17" t="inlineStr">
        <is>
          <t>Month</t>
        </is>
      </c>
      <c r="B31" s="17" t="inlineStr">
        <is>
          <t>Revenue (€)</t>
        </is>
      </c>
      <c r="C31" s="17" t="inlineStr">
        <is>
          <t>35% Budget (€)</t>
        </is>
      </c>
      <c r="D31" s="17" t="inlineStr">
        <is>
          <t>Optimal T</t>
        </is>
      </c>
      <c r="E31" s="17" t="inlineStr">
        <is>
          <t>Core T</t>
        </is>
      </c>
      <c r="F31" s="17" t="inlineStr">
        <is>
          <t>Seasonal T</t>
        </is>
      </c>
      <c r="G31" s="17" t="inlineStr">
        <is>
          <t>Avg Tx /
Day / T</t>
        </is>
      </c>
      <c r="H31" s="17" t="inlineStr">
        <is>
          <t>Dynamic HC (€)</t>
        </is>
      </c>
      <c r="I31" s="17" t="inlineStr">
        <is>
          <t>Saving vs
Fixed (€)</t>
        </is>
      </c>
      <c r="J31" s="17" t="inlineStr">
        <is>
          <t>Status</t>
        </is>
      </c>
      <c r="K31" s="17" t="inlineStr">
        <is>
          <t># Core</t>
        </is>
      </c>
      <c r="L31" s="17" t="inlineStr">
        <is>
          <t># Seas</t>
        </is>
      </c>
      <c r="M31" s="301" t="n"/>
      <c r="N31" s="301" t="n"/>
      <c r="O31" s="301" t="n"/>
      <c r="P31" s="301" t="n"/>
      <c r="Q31" s="301" t="n"/>
      <c r="R31" s="301" t="n"/>
      <c r="S31" s="301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363">
      <c r="A32" s="91" t="inlineStr">
        <is>
          <t>Jan</t>
        </is>
      </c>
      <c r="B32" s="303" t="n">
        <v>19410</v>
      </c>
      <c r="C32" s="303" t="n">
        <v>6794</v>
      </c>
      <c r="D32" s="304" t="n">
        <v>3</v>
      </c>
      <c r="E32" s="304" t="n">
        <v>2</v>
      </c>
      <c r="F32" s="308" t="n">
        <v>1</v>
      </c>
      <c r="G32" s="309" t="n">
        <v>3.3</v>
      </c>
      <c r="H32" s="303" t="n">
        <v>8600</v>
      </c>
      <c r="I32" s="307" t="n">
        <v>1677</v>
      </c>
      <c r="J32" s="92" t="inlineStr">
        <is>
          <t>● ON CORE</t>
        </is>
      </c>
      <c r="K32" s="305" t="n">
        <v>2</v>
      </c>
      <c r="L32" s="107" t="n">
        <v>1</v>
      </c>
      <c r="M32" s="301" t="n"/>
      <c r="N32" s="301" t="n"/>
      <c r="O32" s="301" t="n"/>
      <c r="P32" s="301" t="n"/>
      <c r="Q32" s="301" t="n"/>
      <c r="R32" s="301" t="n"/>
      <c r="S32" s="301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363">
      <c r="A33" s="91" t="inlineStr">
        <is>
          <t>Feb</t>
        </is>
      </c>
      <c r="B33" s="303" t="n">
        <v>20624</v>
      </c>
      <c r="C33" s="303" t="n">
        <v>7218</v>
      </c>
      <c r="D33" s="304" t="n">
        <v>3</v>
      </c>
      <c r="E33" s="304" t="n">
        <v>2</v>
      </c>
      <c r="F33" s="308" t="n">
        <v>1</v>
      </c>
      <c r="G33" s="309" t="n">
        <v>3.5</v>
      </c>
      <c r="H33" s="303" t="n">
        <v>8668</v>
      </c>
      <c r="I33" s="307" t="n">
        <v>1677</v>
      </c>
      <c r="J33" s="92" t="inlineStr">
        <is>
          <t>● ON CORE</t>
        </is>
      </c>
      <c r="K33" s="305" t="n">
        <v>2</v>
      </c>
      <c r="L33" s="107" t="n">
        <v>1</v>
      </c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91" t="inlineStr">
        <is>
          <t>Mar</t>
        </is>
      </c>
      <c r="B34" s="303" t="n">
        <v>21837</v>
      </c>
      <c r="C34" s="303" t="n">
        <v>7643</v>
      </c>
      <c r="D34" s="304" t="n">
        <v>3</v>
      </c>
      <c r="E34" s="304" t="n">
        <v>2</v>
      </c>
      <c r="F34" s="308" t="n">
        <v>1</v>
      </c>
      <c r="G34" s="309" t="n">
        <v>3.7</v>
      </c>
      <c r="H34" s="303" t="n">
        <v>8736</v>
      </c>
      <c r="I34" s="307" t="n">
        <v>1677</v>
      </c>
      <c r="J34" s="92" t="inlineStr">
        <is>
          <t>● ON CORE</t>
        </is>
      </c>
      <c r="K34" s="305" t="n">
        <v>2</v>
      </c>
      <c r="L34" s="107" t="n">
        <v>1</v>
      </c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363">
      <c r="A35" s="310" t="inlineStr">
        <is>
          <t>Apr</t>
        </is>
      </c>
      <c r="B35" s="311" t="n">
        <v>23050</v>
      </c>
      <c r="C35" s="311" t="n">
        <v>8067</v>
      </c>
      <c r="D35" s="312" t="n">
        <v>3</v>
      </c>
      <c r="E35" s="304" t="n">
        <v>2</v>
      </c>
      <c r="F35" s="308" t="n">
        <v>1</v>
      </c>
      <c r="G35" s="313" t="n">
        <v>3.9</v>
      </c>
      <c r="H35" s="311" t="n">
        <v>8803</v>
      </c>
      <c r="I35" s="307" t="n">
        <v>1677</v>
      </c>
      <c r="J35" s="93" t="inlineStr">
        <is>
          <t>▲ SEASONAL ACTIVE</t>
        </is>
      </c>
      <c r="K35" s="305" t="n">
        <v>2</v>
      </c>
      <c r="L35" s="107" t="n">
        <v>1</v>
      </c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363">
      <c r="A36" s="310" t="inlineStr">
        <is>
          <t>May</t>
        </is>
      </c>
      <c r="B36" s="311" t="n">
        <v>24263</v>
      </c>
      <c r="C36" s="311" t="n">
        <v>8492</v>
      </c>
      <c r="D36" s="312" t="n">
        <v>3</v>
      </c>
      <c r="E36" s="304" t="n">
        <v>2</v>
      </c>
      <c r="F36" s="308" t="n">
        <v>1</v>
      </c>
      <c r="G36" s="306" t="n">
        <v>4.1</v>
      </c>
      <c r="H36" s="311" t="n">
        <v>8871</v>
      </c>
      <c r="I36" s="307" t="n">
        <v>1677</v>
      </c>
      <c r="J36" s="93" t="inlineStr">
        <is>
          <t>▲ SEASONAL ACTIVE</t>
        </is>
      </c>
      <c r="K36" s="305" t="n">
        <v>2</v>
      </c>
      <c r="L36" s="107" t="n">
        <v>1</v>
      </c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363">
      <c r="A37" s="310" t="inlineStr">
        <is>
          <t>Jun</t>
        </is>
      </c>
      <c r="B37" s="311" t="n">
        <v>26689</v>
      </c>
      <c r="C37" s="311" t="n">
        <v>9341</v>
      </c>
      <c r="D37" s="312" t="n">
        <v>4</v>
      </c>
      <c r="E37" s="304" t="n">
        <v>2</v>
      </c>
      <c r="F37" s="308" t="n">
        <v>2</v>
      </c>
      <c r="G37" s="313" t="n">
        <v>3.4</v>
      </c>
      <c r="H37" s="311" t="n">
        <v>10683</v>
      </c>
      <c r="I37" s="349" t="n">
        <v>0</v>
      </c>
      <c r="J37" s="93" t="inlineStr">
        <is>
          <t>▲ SEASONAL ACTIVE</t>
        </is>
      </c>
      <c r="K37" s="305" t="n">
        <v>2</v>
      </c>
      <c r="L37" s="107" t="n">
        <v>2</v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310" t="inlineStr">
        <is>
          <t>Jul</t>
        </is>
      </c>
      <c r="B38" s="311" t="n">
        <v>29116</v>
      </c>
      <c r="C38" s="311" t="n">
        <v>10191</v>
      </c>
      <c r="D38" s="312" t="n">
        <v>4</v>
      </c>
      <c r="E38" s="304" t="n">
        <v>2</v>
      </c>
      <c r="F38" s="308" t="n">
        <v>2</v>
      </c>
      <c r="G38" s="313" t="n">
        <v>3.7</v>
      </c>
      <c r="H38" s="311" t="n">
        <v>10819</v>
      </c>
      <c r="I38" s="349" t="n">
        <v>0</v>
      </c>
      <c r="J38" s="93" t="inlineStr">
        <is>
          <t>▲ SEASONAL ACTIVE</t>
        </is>
      </c>
      <c r="K38" s="305" t="n">
        <v>2</v>
      </c>
      <c r="L38" s="107" t="n">
        <v>2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310" t="inlineStr">
        <is>
          <t>Aug</t>
        </is>
      </c>
      <c r="B39" s="311" t="n">
        <v>30329</v>
      </c>
      <c r="C39" s="311" t="n">
        <v>10615</v>
      </c>
      <c r="D39" s="312" t="n">
        <v>4</v>
      </c>
      <c r="E39" s="304" t="n">
        <v>2</v>
      </c>
      <c r="F39" s="308" t="n">
        <v>2</v>
      </c>
      <c r="G39" s="313" t="n">
        <v>3.9</v>
      </c>
      <c r="H39" s="311" t="n">
        <v>10887</v>
      </c>
      <c r="I39" s="349" t="n">
        <v>0</v>
      </c>
      <c r="J39" s="93" t="inlineStr">
        <is>
          <t>▲ SEASONAL ACTIVE</t>
        </is>
      </c>
      <c r="K39" s="305" t="n">
        <v>2</v>
      </c>
      <c r="L39" s="107" t="n">
        <v>2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310" t="inlineStr">
        <is>
          <t>Sep</t>
        </is>
      </c>
      <c r="B40" s="311" t="n">
        <v>26689</v>
      </c>
      <c r="C40" s="311" t="n">
        <v>9341</v>
      </c>
      <c r="D40" s="312" t="n">
        <v>4</v>
      </c>
      <c r="E40" s="304" t="n">
        <v>2</v>
      </c>
      <c r="F40" s="308" t="n">
        <v>2</v>
      </c>
      <c r="G40" s="313" t="n">
        <v>3.4</v>
      </c>
      <c r="H40" s="311" t="n">
        <v>10683</v>
      </c>
      <c r="I40" s="349" t="n">
        <v>0</v>
      </c>
      <c r="J40" s="93" t="inlineStr">
        <is>
          <t>▲ SEASONAL ACTIVE</t>
        </is>
      </c>
      <c r="K40" s="305" t="n">
        <v>2</v>
      </c>
      <c r="L40" s="107" t="n">
        <v>2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310" t="inlineStr">
        <is>
          <t>Oct</t>
        </is>
      </c>
      <c r="B41" s="311" t="n">
        <v>24263</v>
      </c>
      <c r="C41" s="311" t="n">
        <v>8492</v>
      </c>
      <c r="D41" s="312" t="n">
        <v>3</v>
      </c>
      <c r="E41" s="304" t="n">
        <v>2</v>
      </c>
      <c r="F41" s="308" t="n">
        <v>1</v>
      </c>
      <c r="G41" s="306" t="n">
        <v>4.1</v>
      </c>
      <c r="H41" s="311" t="n">
        <v>8871</v>
      </c>
      <c r="I41" s="307" t="n">
        <v>1677</v>
      </c>
      <c r="J41" s="93" t="inlineStr">
        <is>
          <t>▲ SEASONAL ACTIVE</t>
        </is>
      </c>
      <c r="K41" s="305" t="n">
        <v>2</v>
      </c>
      <c r="L41" s="107" t="n">
        <v>1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91" t="inlineStr">
        <is>
          <t>Nov</t>
        </is>
      </c>
      <c r="B42" s="303" t="n">
        <v>21837</v>
      </c>
      <c r="C42" s="303" t="n">
        <v>7643</v>
      </c>
      <c r="D42" s="304" t="n">
        <v>3</v>
      </c>
      <c r="E42" s="304" t="n">
        <v>2</v>
      </c>
      <c r="F42" s="308" t="n">
        <v>1</v>
      </c>
      <c r="G42" s="309" t="n">
        <v>3.7</v>
      </c>
      <c r="H42" s="303" t="n">
        <v>8736</v>
      </c>
      <c r="I42" s="307" t="n">
        <v>1677</v>
      </c>
      <c r="J42" s="92" t="inlineStr">
        <is>
          <t>● ON CORE</t>
        </is>
      </c>
      <c r="K42" s="305" t="n">
        <v>2</v>
      </c>
      <c r="L42" s="107" t="n">
        <v>1</v>
      </c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18" customHeight="1" s="363">
      <c r="A43" s="91" t="inlineStr">
        <is>
          <t>Dec</t>
        </is>
      </c>
      <c r="B43" s="303" t="n">
        <v>23050</v>
      </c>
      <c r="C43" s="303" t="n">
        <v>8067</v>
      </c>
      <c r="D43" s="304" t="n">
        <v>3</v>
      </c>
      <c r="E43" s="304" t="n">
        <v>2</v>
      </c>
      <c r="F43" s="308" t="n">
        <v>1</v>
      </c>
      <c r="G43" s="309" t="n">
        <v>3.9</v>
      </c>
      <c r="H43" s="303" t="n">
        <v>8803</v>
      </c>
      <c r="I43" s="307" t="n">
        <v>1677</v>
      </c>
      <c r="J43" s="92" t="inlineStr">
        <is>
          <t>● ON CORE</t>
        </is>
      </c>
      <c r="K43" s="305" t="n">
        <v>2</v>
      </c>
      <c r="L43" s="107" t="n">
        <v>1</v>
      </c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21.75" customHeight="1" s="363">
      <c r="A44" s="9" t="inlineStr">
        <is>
          <t>ANNUAL TOTAL</t>
        </is>
      </c>
      <c r="B44" s="55" t="n">
        <v>291157</v>
      </c>
      <c r="C44" s="55" t="n">
        <v>101904</v>
      </c>
      <c r="D44" s="314" t="n"/>
      <c r="E44" s="314" t="n"/>
      <c r="F44" s="314" t="n"/>
      <c r="G44" s="314" t="n"/>
      <c r="H44" s="55" t="n">
        <v>113160</v>
      </c>
      <c r="I44" s="307" t="n">
        <v>13416</v>
      </c>
      <c r="J44" s="314" t="n"/>
      <c r="K44" s="314" t="n"/>
      <c r="L44" s="314" t="n"/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21.75" customHeight="1" s="363">
      <c r="A45" s="301" t="n"/>
      <c r="B45" s="301" t="n"/>
      <c r="C45" s="301" t="n"/>
      <c r="D45" s="301" t="n"/>
      <c r="E45" s="301" t="n"/>
      <c r="F45" s="301" t="n"/>
      <c r="G45" s="301" t="n"/>
      <c r="H45" s="301" t="n"/>
      <c r="I45" s="301" t="n"/>
      <c r="J45" s="301" t="n"/>
      <c r="K45" s="301" t="n"/>
      <c r="L45" s="301" t="n"/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19.5" customHeight="1" s="363">
      <c r="A46" s="436" t="inlineStr">
        <is>
          <t>SEASONAL STAFF ROSTER  —  Core = permanent contract  |  Seasonal = fixed-term Apr–Oct</t>
        </is>
      </c>
      <c r="B46" s="398" t="n"/>
      <c r="C46" s="398" t="n"/>
      <c r="D46" s="398" t="n"/>
      <c r="E46" s="398" t="n"/>
      <c r="F46" s="398" t="n"/>
      <c r="G46" s="398" t="n"/>
      <c r="H46" s="398" t="n"/>
      <c r="I46" s="398" t="n"/>
      <c r="J46" s="398" t="n"/>
      <c r="K46" s="398" t="n"/>
      <c r="L46" s="399" t="n"/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19.5" customHeight="1" s="363">
      <c r="A47" s="103" t="inlineStr">
        <is>
          <t>Name</t>
        </is>
      </c>
      <c r="B47" s="103" t="inlineStr">
        <is>
          <t>Contract Type</t>
        </is>
      </c>
      <c r="C47" s="103" t="inlineStr">
        <is>
          <t>Active</t>
        </is>
      </c>
      <c r="D47" s="103" t="inlineStr">
        <is>
          <t>Notes</t>
        </is>
      </c>
      <c r="E47" s="316" t="n"/>
      <c r="F47" s="316" t="n"/>
      <c r="G47" s="316" t="n"/>
      <c r="H47" s="316" t="n"/>
      <c r="I47" s="316" t="n"/>
      <c r="J47" s="316" t="n"/>
      <c r="K47" s="316" t="n"/>
      <c r="L47" s="316" t="n"/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363">
      <c r="A48" s="91" t="inlineStr">
        <is>
          <t>T1 — Valentina</t>
        </is>
      </c>
      <c r="B48" s="317" t="inlineStr">
        <is>
          <t>Permanent</t>
        </is>
      </c>
      <c r="C48" s="317" t="inlineStr">
        <is>
          <t>Year-round</t>
        </is>
      </c>
      <c r="D48" s="318" t="inlineStr">
        <is>
          <t>Core team</t>
        </is>
      </c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363">
      <c r="A49" s="91" t="inlineStr">
        <is>
          <t>T2 — Miriam</t>
        </is>
      </c>
      <c r="B49" s="317" t="inlineStr">
        <is>
          <t>Permanent</t>
        </is>
      </c>
      <c r="C49" s="317" t="inlineStr">
        <is>
          <t>Year-round</t>
        </is>
      </c>
      <c r="D49" s="318" t="inlineStr">
        <is>
          <t>Core team</t>
        </is>
      </c>
      <c r="E49" s="319" t="n"/>
      <c r="F49" s="319" t="n"/>
      <c r="G49" s="319" t="n"/>
      <c r="H49" s="319" t="n"/>
      <c r="I49" s="319" t="n"/>
      <c r="J49" s="319" t="n"/>
      <c r="K49" s="319" t="n"/>
      <c r="L49" s="319" t="n"/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18" customHeight="1" s="363">
      <c r="A50" s="320" t="inlineStr">
        <is>
          <t>T3 — Fatima (seasonal)</t>
        </is>
      </c>
      <c r="B50" s="321" t="inlineStr">
        <is>
          <t>Fixed-term seasonal</t>
        </is>
      </c>
      <c r="C50" s="321" t="inlineStr">
        <is>
          <t>Apr 1 – Oct 31</t>
        </is>
      </c>
      <c r="D50" s="322" t="inlineStr">
        <is>
          <t>Recruit by Feb 15</t>
        </is>
      </c>
      <c r="E50" s="323" t="n"/>
      <c r="F50" s="323" t="n"/>
      <c r="G50" s="323" t="n"/>
      <c r="H50" s="323" t="n"/>
      <c r="I50" s="323" t="n"/>
      <c r="J50" s="323" t="n"/>
      <c r="K50" s="323" t="n"/>
      <c r="L50" s="323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18" customHeight="1" s="363">
      <c r="A51" s="320" t="inlineStr">
        <is>
          <t>T4 — Chiara (seasonal)</t>
        </is>
      </c>
      <c r="B51" s="321" t="inlineStr">
        <is>
          <t>Fixed-term seasonal</t>
        </is>
      </c>
      <c r="C51" s="321" t="inlineStr">
        <is>
          <t>Apr 1 – Oct 31</t>
        </is>
      </c>
      <c r="D51" s="322" t="inlineStr">
        <is>
          <t>Recruit by Feb 15</t>
        </is>
      </c>
      <c r="E51" s="323" t="n"/>
      <c r="F51" s="323" t="n"/>
      <c r="G51" s="323" t="n"/>
      <c r="H51" s="323" t="n"/>
      <c r="I51" s="323" t="n"/>
      <c r="J51" s="323" t="n"/>
      <c r="K51" s="323" t="n"/>
      <c r="L51" s="323" t="n"/>
      <c r="M51" s="301" t="n"/>
      <c r="N51" s="301" t="n"/>
      <c r="O51" s="301" t="n"/>
      <c r="P51" s="301" t="n"/>
      <c r="Q51" s="301" t="n"/>
      <c r="R51" s="301" t="n"/>
      <c r="S51" s="301" t="n"/>
      <c r="T51" s="7" t="n"/>
      <c r="U51" s="7" t="n"/>
      <c r="V51" s="7" t="n"/>
      <c r="W51" s="7" t="n"/>
      <c r="X51" s="7" t="n"/>
      <c r="Y51" s="7" t="n"/>
      <c r="Z51" s="7" t="n"/>
    </row>
    <row r="52" ht="18" customHeight="1" s="363">
      <c r="A52" s="301" t="n"/>
      <c r="B52" s="301" t="n"/>
      <c r="C52" s="301" t="n"/>
      <c r="D52" s="301" t="n"/>
      <c r="E52" s="301" t="n"/>
      <c r="F52" s="301" t="n"/>
      <c r="G52" s="301" t="n"/>
      <c r="H52" s="301" t="n"/>
      <c r="I52" s="301" t="n"/>
      <c r="J52" s="301" t="n"/>
      <c r="K52" s="301" t="n"/>
      <c r="L52" s="301" t="n"/>
      <c r="M52" s="301" t="n"/>
      <c r="N52" s="301" t="n"/>
      <c r="O52" s="301" t="n"/>
      <c r="P52" s="301" t="n"/>
      <c r="Q52" s="301" t="n"/>
      <c r="R52" s="301" t="n"/>
      <c r="S52" s="301" t="n"/>
      <c r="T52" s="7" t="n"/>
      <c r="U52" s="7" t="n"/>
      <c r="V52" s="7" t="n"/>
      <c r="W52" s="7" t="n"/>
      <c r="X52" s="7" t="n"/>
      <c r="Y52" s="7" t="n"/>
      <c r="Z52" s="7" t="n"/>
    </row>
    <row r="53" ht="21.75" customHeight="1" s="363">
      <c r="A53" s="262" t="inlineStr">
        <is>
          <t>T:R RATIO QC  —  THERAPIST · RECEPTION HC SPEND RECONCILIATION  |  Validates that cost allocation by role is within industry benchmarks</t>
        </is>
      </c>
      <c r="B53" s="398" t="n"/>
      <c r="C53" s="398" t="n"/>
      <c r="D53" s="398" t="n"/>
      <c r="E53" s="398" t="n"/>
      <c r="F53" s="398" t="n"/>
      <c r="G53" s="398" t="n"/>
      <c r="H53" s="398" t="n"/>
      <c r="I53" s="398" t="n"/>
      <c r="J53" s="398" t="n"/>
      <c r="K53" s="398" t="n"/>
      <c r="L53" s="399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30" customHeight="1" s="363">
      <c r="A54" s="17" t="inlineStr">
        <is>
          <t>Role / Category</t>
        </is>
      </c>
      <c r="B54" s="17" t="inlineStr">
        <is>
          <t>Avg Annual
FTEs</t>
        </is>
      </c>
      <c r="C54" s="17" t="inlineStr">
        <is>
          <t>Annual Cost (€)</t>
        </is>
      </c>
      <c r="D54" s="17" t="inlineStr">
        <is>
          <t>% of Total
Dynamic HC</t>
        </is>
      </c>
      <c r="E54" s="17" t="inlineStr">
        <is>
          <t>Industry
Benchmark</t>
        </is>
      </c>
      <c r="F54" s="17" t="inlineStr">
        <is>
          <t>QC Status</t>
        </is>
      </c>
      <c r="G54" s="324" t="n"/>
      <c r="H54" s="324" t="n"/>
      <c r="I54" s="324" t="n"/>
      <c r="J54" s="324" t="n"/>
      <c r="K54" s="324" t="n"/>
      <c r="L54" s="324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91" t="inlineStr">
        <is>
          <t>Therapists (T)</t>
        </is>
      </c>
      <c r="B55" s="325" t="inlineStr">
        <is>
          <t>3.3</t>
        </is>
      </c>
      <c r="C55" s="303" t="n">
        <v>67080</v>
      </c>
      <c r="D55" s="350" t="n">
        <v>0.5927889713679746</v>
      </c>
      <c r="E55" s="327" t="inlineStr">
        <is>
          <t>60% – 85%</t>
        </is>
      </c>
      <c r="F55" s="351" t="inlineStr">
        <is>
          <t>⚠  T = 59.3% of total HC</t>
        </is>
      </c>
      <c r="G55" s="329" t="n"/>
      <c r="H55" s="329" t="n"/>
      <c r="I55" s="329" t="n"/>
      <c r="J55" s="329" t="n"/>
      <c r="K55" s="329" t="n"/>
      <c r="L55" s="329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8" customHeight="1" s="363">
      <c r="A56" s="330" t="inlineStr">
        <is>
          <t>Reception (R)</t>
        </is>
      </c>
      <c r="B56" s="331" t="inlineStr">
        <is>
          <t>1</t>
        </is>
      </c>
      <c r="C56" s="28" t="n">
        <v>18780</v>
      </c>
      <c r="D56" s="326" t="n">
        <v>0.1659597030752916</v>
      </c>
      <c r="E56" s="332" t="inlineStr">
        <is>
          <t>7% – 20%</t>
        </is>
      </c>
      <c r="F56" s="328" t="inlineStr">
        <is>
          <t>✓  R = 16.6% of total HC</t>
        </is>
      </c>
      <c r="G56" s="333" t="n"/>
      <c r="H56" s="333" t="n"/>
      <c r="I56" s="333" t="n"/>
      <c r="J56" s="333" t="n"/>
      <c r="K56" s="333" t="n"/>
      <c r="L56" s="333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8" customHeight="1" s="363">
      <c r="A57" s="334" t="inlineStr">
        <is>
          <t>Relationship Manager (RM)</t>
        </is>
      </c>
      <c r="B57" s="335" t="inlineStr">
        <is>
          <t>33% FTE</t>
        </is>
      </c>
      <c r="C57" s="336" t="n">
        <v>11064</v>
      </c>
      <c r="D57" s="326" t="n">
        <v>0.09777306468716861</v>
      </c>
      <c r="E57" s="337" t="inlineStr">
        <is>
          <t>3% – 10%</t>
        </is>
      </c>
      <c r="F57" s="328" t="inlineStr">
        <is>
          <t>✓  RM = 9.8% of total HC</t>
        </is>
      </c>
      <c r="G57" s="338" t="n"/>
      <c r="H57" s="338" t="n"/>
      <c r="I57" s="338" t="n"/>
      <c r="J57" s="338" t="n"/>
      <c r="K57" s="338" t="n"/>
      <c r="L57" s="338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8" customHeight="1" s="363">
      <c r="A58" s="339" t="inlineStr">
        <is>
          <t>Variable Commissions</t>
        </is>
      </c>
      <c r="B58" s="340" t="inlineStr">
        <is>
          <t>—</t>
        </is>
      </c>
      <c r="C58" s="341" t="n">
        <v>16236</v>
      </c>
      <c r="D58" s="342" t="n">
        <v>0.1434782608695652</v>
      </c>
      <c r="E58" s="340" t="inlineStr">
        <is>
          <t>—</t>
        </is>
      </c>
      <c r="F58" s="339" t="inlineStr">
        <is>
          <t>Treatment + retail performance bonuses</t>
        </is>
      </c>
      <c r="G58" s="343" t="n"/>
      <c r="H58" s="343" t="n"/>
      <c r="I58" s="343" t="n"/>
      <c r="J58" s="343" t="n"/>
      <c r="K58" s="343" t="n"/>
      <c r="L58" s="343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21.75" customHeight="1" s="363">
      <c r="A59" s="262" t="inlineStr">
        <is>
          <t>TOTAL DYNAMIC HC</t>
        </is>
      </c>
      <c r="B59" s="344" t="inlineStr">
        <is>
          <t>—</t>
        </is>
      </c>
      <c r="C59" s="55" t="n">
        <v>113160</v>
      </c>
      <c r="D59" s="9" t="inlineStr">
        <is>
          <t>100.0%</t>
        </is>
      </c>
      <c r="E59" s="56" t="n"/>
      <c r="F59" s="56" t="n"/>
      <c r="G59" s="56" t="n"/>
      <c r="H59" s="56" t="n"/>
      <c r="I59" s="56" t="n"/>
      <c r="J59" s="56" t="n"/>
      <c r="K59" s="56" t="n"/>
      <c r="L59" s="56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9.5" customHeight="1" s="363">
      <c r="A60" s="345" t="inlineStr">
        <is>
          <t>T:R Headcount Ratio</t>
        </is>
      </c>
      <c r="B60" s="346" t="inlineStr">
        <is>
          <t>3.3 : 1</t>
        </is>
      </c>
      <c r="C60" s="347" t="inlineStr">
        <is>
          <t>Avg 3.3 therapists : 1 receptionist(s)</t>
        </is>
      </c>
      <c r="D60" s="306" t="n">
        <v>3.3</v>
      </c>
      <c r="E60" s="257" t="inlineStr">
        <is>
          <t>3:1 – 7:1</t>
        </is>
      </c>
      <c r="F60" s="328" t="inlineStr">
        <is>
          <t>✓  Ratio 3.3:1 — healthy</t>
        </is>
      </c>
      <c r="G60" s="324" t="n"/>
      <c r="H60" s="324" t="n"/>
      <c r="I60" s="324" t="n"/>
      <c r="J60" s="324" t="n"/>
      <c r="K60" s="324" t="n"/>
      <c r="L60" s="324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9.5" customHeight="1" s="363">
      <c r="A61" s="345" t="inlineStr">
        <is>
          <t>T:R Spend Ratio (€)</t>
        </is>
      </c>
      <c r="B61" s="346" t="inlineStr">
        <is>
          <t>3.6×</t>
        </is>
      </c>
      <c r="C61" s="347" t="inlineStr">
        <is>
          <t>For every €1 in reception cost, €3.6 spent on therapists</t>
        </is>
      </c>
      <c r="D61" s="306" t="n">
        <v>3.571884984025559</v>
      </c>
      <c r="E61" s="257" t="inlineStr">
        <is>
          <t>3× – 8×</t>
        </is>
      </c>
      <c r="F61" s="328" t="inlineStr">
        <is>
          <t>✓  Spend ratio 3.6× — healthy</t>
        </is>
      </c>
      <c r="G61" s="324" t="n"/>
      <c r="H61" s="324" t="n"/>
      <c r="I61" s="324" t="n"/>
      <c r="J61" s="324" t="n"/>
      <c r="K61" s="324" t="n"/>
      <c r="L61" s="324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8">
    <mergeCell ref="A30:L30"/>
    <mergeCell ref="A1:J1"/>
    <mergeCell ref="A46:L46"/>
    <mergeCell ref="A4:J4"/>
    <mergeCell ref="A20:J20"/>
    <mergeCell ref="A2:J2"/>
    <mergeCell ref="A53:L53"/>
    <mergeCell ref="A62:L62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RIVIERA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€239,232  |  Monthly avg: €19,936  |  Receptionists: 1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15949</v>
      </c>
      <c r="C6" s="54" t="n">
        <v>6380</v>
      </c>
      <c r="D6" s="54" t="n">
        <v>3803</v>
      </c>
      <c r="E6" s="29" t="n">
        <v>1</v>
      </c>
      <c r="F6" s="54" t="n">
        <v>1565</v>
      </c>
      <c r="G6" s="29" t="n">
        <v>1</v>
      </c>
      <c r="H6" s="54" t="n">
        <v>1012</v>
      </c>
      <c r="I6" s="54" t="n">
        <v>0</v>
      </c>
      <c r="J6" s="54" t="n">
        <v>6380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16946</v>
      </c>
      <c r="C7" s="289" t="n">
        <v>6778</v>
      </c>
      <c r="D7" s="289" t="n">
        <v>4196</v>
      </c>
      <c r="E7" s="290" t="n">
        <v>1</v>
      </c>
      <c r="F7" s="289" t="n">
        <v>1565</v>
      </c>
      <c r="G7" s="290" t="n">
        <v>1</v>
      </c>
      <c r="H7" s="289" t="n">
        <v>1017</v>
      </c>
      <c r="I7" s="289" t="n">
        <v>0</v>
      </c>
      <c r="J7" s="289" t="n">
        <v>6778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17942</v>
      </c>
      <c r="C8" s="54" t="n">
        <v>7177</v>
      </c>
      <c r="D8" s="54" t="n">
        <v>4590</v>
      </c>
      <c r="E8" s="29" t="n">
        <v>2</v>
      </c>
      <c r="F8" s="54" t="n">
        <v>1565</v>
      </c>
      <c r="G8" s="29" t="n">
        <v>1</v>
      </c>
      <c r="H8" s="54" t="n">
        <v>1022</v>
      </c>
      <c r="I8" s="54" t="n">
        <v>0</v>
      </c>
      <c r="J8" s="54" t="n">
        <v>7177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18939</v>
      </c>
      <c r="C9" s="289" t="n">
        <v>7576</v>
      </c>
      <c r="D9" s="289" t="n">
        <v>4984</v>
      </c>
      <c r="E9" s="290" t="n">
        <v>2</v>
      </c>
      <c r="F9" s="289" t="n">
        <v>1565</v>
      </c>
      <c r="G9" s="290" t="n">
        <v>1</v>
      </c>
      <c r="H9" s="289" t="n">
        <v>1027</v>
      </c>
      <c r="I9" s="289" t="n">
        <v>0</v>
      </c>
      <c r="J9" s="289" t="n">
        <v>7576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19936</v>
      </c>
      <c r="C10" s="54" t="n">
        <v>7974</v>
      </c>
      <c r="D10" s="54" t="n">
        <v>5377</v>
      </c>
      <c r="E10" s="29" t="n">
        <v>2</v>
      </c>
      <c r="F10" s="54" t="n">
        <v>1565</v>
      </c>
      <c r="G10" s="29" t="n">
        <v>1</v>
      </c>
      <c r="H10" s="54" t="n">
        <v>1032</v>
      </c>
      <c r="I10" s="54" t="n">
        <v>0</v>
      </c>
      <c r="J10" s="54" t="n">
        <v>7974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21930</v>
      </c>
      <c r="C11" s="289" t="n">
        <v>8772</v>
      </c>
      <c r="D11" s="289" t="n">
        <v>6165</v>
      </c>
      <c r="E11" s="290" t="n">
        <v>3</v>
      </c>
      <c r="F11" s="289" t="n">
        <v>1565</v>
      </c>
      <c r="G11" s="290" t="n">
        <v>1</v>
      </c>
      <c r="H11" s="289" t="n">
        <v>1042</v>
      </c>
      <c r="I11" s="289" t="n">
        <v>0</v>
      </c>
      <c r="J11" s="289" t="n">
        <v>8772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23923</v>
      </c>
      <c r="C12" s="54" t="n">
        <v>9569</v>
      </c>
      <c r="D12" s="54" t="n">
        <v>6952</v>
      </c>
      <c r="E12" s="29" t="n">
        <v>3</v>
      </c>
      <c r="F12" s="54" t="n">
        <v>1565</v>
      </c>
      <c r="G12" s="29" t="n">
        <v>1</v>
      </c>
      <c r="H12" s="54" t="n">
        <v>1052</v>
      </c>
      <c r="I12" s="54" t="n">
        <v>0</v>
      </c>
      <c r="J12" s="54" t="n">
        <v>9569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24920</v>
      </c>
      <c r="C13" s="289" t="n">
        <v>9968</v>
      </c>
      <c r="D13" s="289" t="n">
        <v>7346</v>
      </c>
      <c r="E13" s="290" t="n">
        <v>3</v>
      </c>
      <c r="F13" s="289" t="n">
        <v>1565</v>
      </c>
      <c r="G13" s="290" t="n">
        <v>1</v>
      </c>
      <c r="H13" s="289" t="n">
        <v>1057</v>
      </c>
      <c r="I13" s="289" t="n">
        <v>0</v>
      </c>
      <c r="J13" s="289" t="n">
        <v>9968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21930</v>
      </c>
      <c r="C14" s="54" t="n">
        <v>8772</v>
      </c>
      <c r="D14" s="54" t="n">
        <v>6165</v>
      </c>
      <c r="E14" s="29" t="n">
        <v>3</v>
      </c>
      <c r="F14" s="54" t="n">
        <v>1565</v>
      </c>
      <c r="G14" s="29" t="n">
        <v>1</v>
      </c>
      <c r="H14" s="54" t="n">
        <v>1042</v>
      </c>
      <c r="I14" s="54" t="n">
        <v>0</v>
      </c>
      <c r="J14" s="54" t="n">
        <v>8772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19936</v>
      </c>
      <c r="C15" s="289" t="n">
        <v>7974</v>
      </c>
      <c r="D15" s="289" t="n">
        <v>5377</v>
      </c>
      <c r="E15" s="290" t="n">
        <v>2</v>
      </c>
      <c r="F15" s="289" t="n">
        <v>1565</v>
      </c>
      <c r="G15" s="290" t="n">
        <v>1</v>
      </c>
      <c r="H15" s="289" t="n">
        <v>1032</v>
      </c>
      <c r="I15" s="289" t="n">
        <v>0</v>
      </c>
      <c r="J15" s="289" t="n">
        <v>7974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17942</v>
      </c>
      <c r="C16" s="54" t="n">
        <v>7177</v>
      </c>
      <c r="D16" s="54" t="n">
        <v>4590</v>
      </c>
      <c r="E16" s="29" t="n">
        <v>2</v>
      </c>
      <c r="F16" s="54" t="n">
        <v>1565</v>
      </c>
      <c r="G16" s="29" t="n">
        <v>1</v>
      </c>
      <c r="H16" s="54" t="n">
        <v>1022</v>
      </c>
      <c r="I16" s="54" t="n">
        <v>0</v>
      </c>
      <c r="J16" s="54" t="n">
        <v>7177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18939</v>
      </c>
      <c r="C17" s="289" t="n">
        <v>7576</v>
      </c>
      <c r="D17" s="289" t="n">
        <v>4984</v>
      </c>
      <c r="E17" s="290" t="n">
        <v>2</v>
      </c>
      <c r="F17" s="289" t="n">
        <v>1565</v>
      </c>
      <c r="G17" s="290" t="n">
        <v>1</v>
      </c>
      <c r="H17" s="289" t="n">
        <v>1027</v>
      </c>
      <c r="I17" s="289" t="n">
        <v>0</v>
      </c>
      <c r="J17" s="289" t="n">
        <v>7576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239232</v>
      </c>
      <c r="C18" s="292" t="n">
        <v>95693</v>
      </c>
      <c r="D18" s="292" t="n">
        <v>64529</v>
      </c>
      <c r="E18" s="293" t="n"/>
      <c r="F18" s="292" t="n">
        <v>18780</v>
      </c>
      <c r="G18" s="293" t="n">
        <v>1</v>
      </c>
      <c r="H18" s="292" t="n">
        <v>12384</v>
      </c>
      <c r="I18" s="292" t="n">
        <v>0</v>
      </c>
      <c r="J18" s="292" t="n">
        <v>95693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Maya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37" t="inlineStr">
        <is>
          <t>B</t>
        </is>
      </c>
      <c r="G22" s="127" t="inlineStr">
        <is>
          <t>A</t>
        </is>
      </c>
      <c r="H22" s="127" t="inlineStr">
        <is>
          <t>A</t>
        </is>
      </c>
      <c r="I22" s="137" t="inlineStr">
        <is>
          <t>B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Sofia</t>
        </is>
      </c>
      <c r="B23" s="300" t="inlineStr">
        <is>
          <t>Therapist</t>
        </is>
      </c>
      <c r="C23" s="126" t="inlineStr">
        <is>
          <t>OFF</t>
        </is>
      </c>
      <c r="D23" s="126" t="inlineStr">
        <is>
          <t>OFF</t>
        </is>
      </c>
      <c r="E23" s="137" t="inlineStr">
        <is>
          <t>B</t>
        </is>
      </c>
      <c r="F23" s="127" t="inlineStr">
        <is>
          <t>A</t>
        </is>
      </c>
      <c r="G23" s="137" t="inlineStr">
        <is>
          <t>B</t>
        </is>
      </c>
      <c r="H23" s="137" t="inlineStr">
        <is>
          <t>B</t>
        </is>
      </c>
      <c r="I23" s="127" t="inlineStr">
        <is>
          <t>A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T3 — Elena</t>
        </is>
      </c>
      <c r="B24" s="298" t="inlineStr">
        <is>
          <t>Therapist</t>
        </is>
      </c>
      <c r="C24" s="127" t="inlineStr">
        <is>
          <t>A</t>
        </is>
      </c>
      <c r="D24" s="126" t="inlineStr">
        <is>
          <t>OFF</t>
        </is>
      </c>
      <c r="E24" s="126" t="inlineStr">
        <is>
          <t>OFF</t>
        </is>
      </c>
      <c r="F24" s="137" t="inlineStr">
        <is>
          <t>B</t>
        </is>
      </c>
      <c r="G24" s="137" t="inlineStr">
        <is>
          <t>B</t>
        </is>
      </c>
      <c r="H24" s="127" t="inlineStr">
        <is>
          <t>A</t>
        </is>
      </c>
      <c r="I24" s="127" t="inlineStr">
        <is>
          <t>A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162" t="inlineStr">
        <is>
          <t>T4 — Lucia</t>
        </is>
      </c>
      <c r="B25" s="300" t="inlineStr">
        <is>
          <t>Therapist</t>
        </is>
      </c>
      <c r="C25" s="137" t="inlineStr">
        <is>
          <t>B</t>
        </is>
      </c>
      <c r="D25" s="127" t="inlineStr">
        <is>
          <t>A</t>
        </is>
      </c>
      <c r="E25" s="126" t="inlineStr">
        <is>
          <t>OFF</t>
        </is>
      </c>
      <c r="F25" s="126" t="inlineStr">
        <is>
          <t>OFF</t>
        </is>
      </c>
      <c r="G25" s="127" t="inlineStr">
        <is>
          <t>A</t>
        </is>
      </c>
      <c r="H25" s="137" t="inlineStr">
        <is>
          <t>B</t>
        </is>
      </c>
      <c r="I25" s="127" t="inlineStr">
        <is>
          <t>A</t>
        </is>
      </c>
      <c r="J25" s="299" t="n">
        <v>5</v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297" t="inlineStr">
        <is>
          <t>R1 — Daniela</t>
        </is>
      </c>
      <c r="B26" s="298" t="inlineStr">
        <is>
          <t>Receptionist</t>
        </is>
      </c>
      <c r="C26" s="126" t="inlineStr">
        <is>
          <t>OFF</t>
        </is>
      </c>
      <c r="D26" s="126" t="inlineStr">
        <is>
          <t>OFF</t>
        </is>
      </c>
      <c r="E26" s="127" t="inlineStr">
        <is>
          <t>A</t>
        </is>
      </c>
      <c r="F26" s="127" t="inlineStr">
        <is>
          <t>A</t>
        </is>
      </c>
      <c r="G26" s="127" t="inlineStr">
        <is>
          <t>A</t>
        </is>
      </c>
      <c r="H26" s="127" t="inlineStr">
        <is>
          <t>A</t>
        </is>
      </c>
      <c r="I26" s="137" t="inlineStr">
        <is>
          <t>B</t>
        </is>
      </c>
      <c r="J26" s="299" t="n">
        <v>5</v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 s="363">
      <c r="A27" s="301" t="n"/>
      <c r="B27" s="301" t="n"/>
      <c r="C27" s="301" t="n"/>
      <c r="D27" s="301" t="n"/>
      <c r="E27" s="301" t="n"/>
      <c r="F27" s="301" t="n"/>
      <c r="G27" s="301" t="n"/>
      <c r="H27" s="301" t="n"/>
      <c r="I27" s="301" t="n"/>
      <c r="J27" s="301" t="n"/>
      <c r="K27" s="301" t="n"/>
      <c r="L27" s="301" t="n"/>
      <c r="M27" s="301" t="n"/>
      <c r="N27" s="301" t="n"/>
      <c r="O27" s="301" t="n"/>
      <c r="P27" s="301" t="n"/>
      <c r="Q27" s="301" t="n"/>
      <c r="R27" s="301" t="n"/>
      <c r="S27" s="301" t="n"/>
      <c r="T27" s="7" t="n"/>
      <c r="U27" s="7" t="n"/>
      <c r="V27" s="7" t="n"/>
      <c r="W27" s="7" t="n"/>
      <c r="X27" s="7" t="n"/>
      <c r="Y27" s="7" t="n"/>
      <c r="Z27" s="7" t="n"/>
    </row>
    <row r="28" ht="13.5" customHeight="1" s="363">
      <c r="A28" s="301" t="n"/>
      <c r="B28" s="301" t="n"/>
      <c r="C28" s="301" t="n"/>
      <c r="D28" s="301" t="n"/>
      <c r="E28" s="301" t="n"/>
      <c r="F28" s="301" t="n"/>
      <c r="G28" s="301" t="n"/>
      <c r="H28" s="301" t="n"/>
      <c r="I28" s="301" t="n"/>
      <c r="J28" s="301" t="n"/>
      <c r="K28" s="301" t="n"/>
      <c r="L28" s="301" t="n"/>
      <c r="M28" s="301" t="n"/>
      <c r="N28" s="301" t="n"/>
      <c r="O28" s="301" t="n"/>
      <c r="P28" s="301" t="n"/>
      <c r="Q28" s="301" t="n"/>
      <c r="R28" s="301" t="n"/>
      <c r="S28" s="301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363">
      <c r="A29" s="301" t="n"/>
      <c r="B29" s="301" t="n"/>
      <c r="C29" s="301" t="n"/>
      <c r="D29" s="301" t="n"/>
      <c r="E29" s="301" t="n"/>
      <c r="F29" s="301" t="n"/>
      <c r="G29" s="301" t="n"/>
      <c r="H29" s="301" t="n"/>
      <c r="I29" s="301" t="n"/>
      <c r="J29" s="301" t="n"/>
      <c r="K29" s="301" t="n"/>
      <c r="L29" s="301" t="n"/>
      <c r="M29" s="301" t="n"/>
      <c r="N29" s="301" t="n"/>
      <c r="O29" s="301" t="n"/>
      <c r="P29" s="301" t="n"/>
      <c r="Q29" s="301" t="n"/>
      <c r="R29" s="301" t="n"/>
      <c r="S29" s="301" t="n"/>
      <c r="T29" s="7" t="n"/>
      <c r="U29" s="7" t="n"/>
      <c r="V29" s="7" t="n"/>
      <c r="W29" s="7" t="n"/>
      <c r="X29" s="7" t="n"/>
      <c r="Y29" s="7" t="n"/>
      <c r="Z29" s="7" t="n"/>
    </row>
    <row r="30" ht="21.75" customHeight="1" s="363">
      <c r="A30" s="435" t="inlineStr">
        <is>
          <t>DYNAMIC STAFFING MODEL  —  Demand-Adjusted Headcount  |  Core = Permanent (year-round)  |  Seasonal = Fixed-term (Apr–Oct)  |  Buffer: 20% above demand floor</t>
        </is>
      </c>
      <c r="B30" s="398" t="n"/>
      <c r="C30" s="398" t="n"/>
      <c r="D30" s="398" t="n"/>
      <c r="E30" s="398" t="n"/>
      <c r="F30" s="398" t="n"/>
      <c r="G30" s="398" t="n"/>
      <c r="H30" s="398" t="n"/>
      <c r="I30" s="398" t="n"/>
      <c r="J30" s="398" t="n"/>
      <c r="K30" s="398" t="n"/>
      <c r="L30" s="399" t="n"/>
      <c r="M30" s="301" t="n"/>
      <c r="N30" s="301" t="n"/>
      <c r="O30" s="301" t="n"/>
      <c r="P30" s="301" t="n"/>
      <c r="Q30" s="301" t="n"/>
      <c r="R30" s="301" t="n"/>
      <c r="S30" s="301" t="n"/>
      <c r="T30" s="7" t="n"/>
      <c r="U30" s="7" t="n"/>
      <c r="V30" s="7" t="n"/>
      <c r="W30" s="7" t="n"/>
      <c r="X30" s="7" t="n"/>
      <c r="Y30" s="7" t="n"/>
      <c r="Z30" s="7" t="n"/>
    </row>
    <row r="31" ht="30" customHeight="1" s="363">
      <c r="A31" s="17" t="inlineStr">
        <is>
          <t>Month</t>
        </is>
      </c>
      <c r="B31" s="17" t="inlineStr">
        <is>
          <t>Revenue (€)</t>
        </is>
      </c>
      <c r="C31" s="17" t="inlineStr">
        <is>
          <t>35% Budget (€)</t>
        </is>
      </c>
      <c r="D31" s="17" t="inlineStr">
        <is>
          <t>Optimal T</t>
        </is>
      </c>
      <c r="E31" s="17" t="inlineStr">
        <is>
          <t>Core T</t>
        </is>
      </c>
      <c r="F31" s="17" t="inlineStr">
        <is>
          <t>Seasonal T</t>
        </is>
      </c>
      <c r="G31" s="17" t="inlineStr">
        <is>
          <t>Avg Tx /
Day / T</t>
        </is>
      </c>
      <c r="H31" s="17" t="inlineStr">
        <is>
          <t>Dynamic HC (€)</t>
        </is>
      </c>
      <c r="I31" s="17" t="inlineStr">
        <is>
          <t>Saving vs
Fixed (€)</t>
        </is>
      </c>
      <c r="J31" s="17" t="inlineStr">
        <is>
          <t>Status</t>
        </is>
      </c>
      <c r="K31" s="17" t="inlineStr">
        <is>
          <t># Core</t>
        </is>
      </c>
      <c r="L31" s="17" t="inlineStr">
        <is>
          <t># Seas</t>
        </is>
      </c>
      <c r="M31" s="301" t="n"/>
      <c r="N31" s="301" t="n"/>
      <c r="O31" s="301" t="n"/>
      <c r="P31" s="301" t="n"/>
      <c r="Q31" s="301" t="n"/>
      <c r="R31" s="301" t="n"/>
      <c r="S31" s="301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363">
      <c r="A32" s="91" t="inlineStr">
        <is>
          <t>Jan</t>
        </is>
      </c>
      <c r="B32" s="303" t="n">
        <v>15949</v>
      </c>
      <c r="C32" s="303" t="n">
        <v>5582</v>
      </c>
      <c r="D32" s="304" t="n">
        <v>2</v>
      </c>
      <c r="E32" s="304" t="n">
        <v>2</v>
      </c>
      <c r="F32" s="305" t="n">
        <v>0</v>
      </c>
      <c r="G32" s="306" t="n">
        <v>4.1</v>
      </c>
      <c r="H32" s="303" t="n">
        <v>6731</v>
      </c>
      <c r="I32" s="307" t="n">
        <v>3354</v>
      </c>
      <c r="J32" s="92" t="inlineStr">
        <is>
          <t>● ON CORE</t>
        </is>
      </c>
      <c r="K32" s="305" t="n">
        <v>2</v>
      </c>
      <c r="L32" s="305" t="n">
        <v>0</v>
      </c>
      <c r="M32" s="301" t="n"/>
      <c r="N32" s="301" t="n"/>
      <c r="O32" s="301" t="n"/>
      <c r="P32" s="301" t="n"/>
      <c r="Q32" s="301" t="n"/>
      <c r="R32" s="301" t="n"/>
      <c r="S32" s="301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363">
      <c r="A33" s="91" t="inlineStr">
        <is>
          <t>Feb</t>
        </is>
      </c>
      <c r="B33" s="303" t="n">
        <v>16946</v>
      </c>
      <c r="C33" s="303" t="n">
        <v>5931</v>
      </c>
      <c r="D33" s="304" t="n">
        <v>3</v>
      </c>
      <c r="E33" s="304" t="n">
        <v>2</v>
      </c>
      <c r="F33" s="308" t="n">
        <v>1</v>
      </c>
      <c r="G33" s="309" t="n">
        <v>2.9</v>
      </c>
      <c r="H33" s="303" t="n">
        <v>8464</v>
      </c>
      <c r="I33" s="307" t="n">
        <v>1677</v>
      </c>
      <c r="J33" s="92" t="inlineStr">
        <is>
          <t>● ON CORE</t>
        </is>
      </c>
      <c r="K33" s="305" t="n">
        <v>2</v>
      </c>
      <c r="L33" s="107" t="n">
        <v>1</v>
      </c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91" t="inlineStr">
        <is>
          <t>Mar</t>
        </is>
      </c>
      <c r="B34" s="303" t="n">
        <v>17942</v>
      </c>
      <c r="C34" s="303" t="n">
        <v>6280</v>
      </c>
      <c r="D34" s="304" t="n">
        <v>3</v>
      </c>
      <c r="E34" s="304" t="n">
        <v>2</v>
      </c>
      <c r="F34" s="308" t="n">
        <v>1</v>
      </c>
      <c r="G34" s="309" t="n">
        <v>3.1</v>
      </c>
      <c r="H34" s="303" t="n">
        <v>8519</v>
      </c>
      <c r="I34" s="307" t="n">
        <v>1677</v>
      </c>
      <c r="J34" s="92" t="inlineStr">
        <is>
          <t>● ON CORE</t>
        </is>
      </c>
      <c r="K34" s="305" t="n">
        <v>2</v>
      </c>
      <c r="L34" s="107" t="n">
        <v>1</v>
      </c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363">
      <c r="A35" s="310" t="inlineStr">
        <is>
          <t>Apr</t>
        </is>
      </c>
      <c r="B35" s="311" t="n">
        <v>18939</v>
      </c>
      <c r="C35" s="311" t="n">
        <v>6629</v>
      </c>
      <c r="D35" s="312" t="n">
        <v>3</v>
      </c>
      <c r="E35" s="304" t="n">
        <v>2</v>
      </c>
      <c r="F35" s="308" t="n">
        <v>1</v>
      </c>
      <c r="G35" s="313" t="n">
        <v>3.2</v>
      </c>
      <c r="H35" s="311" t="n">
        <v>8574</v>
      </c>
      <c r="I35" s="307" t="n">
        <v>1677</v>
      </c>
      <c r="J35" s="93" t="inlineStr">
        <is>
          <t>▲ SEASONAL ACTIVE</t>
        </is>
      </c>
      <c r="K35" s="305" t="n">
        <v>2</v>
      </c>
      <c r="L35" s="107" t="n">
        <v>1</v>
      </c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363">
      <c r="A36" s="310" t="inlineStr">
        <is>
          <t>May</t>
        </is>
      </c>
      <c r="B36" s="311" t="n">
        <v>19936</v>
      </c>
      <c r="C36" s="311" t="n">
        <v>6978</v>
      </c>
      <c r="D36" s="312" t="n">
        <v>3</v>
      </c>
      <c r="E36" s="304" t="n">
        <v>2</v>
      </c>
      <c r="F36" s="308" t="n">
        <v>1</v>
      </c>
      <c r="G36" s="313" t="n">
        <v>3.4</v>
      </c>
      <c r="H36" s="311" t="n">
        <v>8630</v>
      </c>
      <c r="I36" s="307" t="n">
        <v>1677</v>
      </c>
      <c r="J36" s="93" t="inlineStr">
        <is>
          <t>▲ SEASONAL ACTIVE</t>
        </is>
      </c>
      <c r="K36" s="305" t="n">
        <v>2</v>
      </c>
      <c r="L36" s="107" t="n">
        <v>1</v>
      </c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363">
      <c r="A37" s="310" t="inlineStr">
        <is>
          <t>Jun</t>
        </is>
      </c>
      <c r="B37" s="311" t="n">
        <v>21930</v>
      </c>
      <c r="C37" s="311" t="n">
        <v>7675</v>
      </c>
      <c r="D37" s="312" t="n">
        <v>3</v>
      </c>
      <c r="E37" s="304" t="n">
        <v>2</v>
      </c>
      <c r="F37" s="308" t="n">
        <v>1</v>
      </c>
      <c r="G37" s="313" t="n">
        <v>3.7</v>
      </c>
      <c r="H37" s="311" t="n">
        <v>8742</v>
      </c>
      <c r="I37" s="307" t="n">
        <v>1677</v>
      </c>
      <c r="J37" s="93" t="inlineStr">
        <is>
          <t>▲ SEASONAL ACTIVE</t>
        </is>
      </c>
      <c r="K37" s="305" t="n">
        <v>2</v>
      </c>
      <c r="L37" s="107" t="n">
        <v>1</v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310" t="inlineStr">
        <is>
          <t>Jul</t>
        </is>
      </c>
      <c r="B38" s="311" t="n">
        <v>23923</v>
      </c>
      <c r="C38" s="311" t="n">
        <v>8373</v>
      </c>
      <c r="D38" s="312" t="n">
        <v>3</v>
      </c>
      <c r="E38" s="304" t="n">
        <v>2</v>
      </c>
      <c r="F38" s="308" t="n">
        <v>1</v>
      </c>
      <c r="G38" s="306" t="n">
        <v>4.1</v>
      </c>
      <c r="H38" s="311" t="n">
        <v>8852</v>
      </c>
      <c r="I38" s="307" t="n">
        <v>1677</v>
      </c>
      <c r="J38" s="93" t="inlineStr">
        <is>
          <t>▲ SEASONAL ACTIVE</t>
        </is>
      </c>
      <c r="K38" s="305" t="n">
        <v>2</v>
      </c>
      <c r="L38" s="107" t="n">
        <v>1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310" t="inlineStr">
        <is>
          <t>Aug</t>
        </is>
      </c>
      <c r="B39" s="311" t="n">
        <v>24920</v>
      </c>
      <c r="C39" s="311" t="n">
        <v>8722</v>
      </c>
      <c r="D39" s="312" t="n">
        <v>3</v>
      </c>
      <c r="E39" s="304" t="n">
        <v>2</v>
      </c>
      <c r="F39" s="308" t="n">
        <v>1</v>
      </c>
      <c r="G39" s="306" t="n">
        <v>4.3</v>
      </c>
      <c r="H39" s="311" t="n">
        <v>8909</v>
      </c>
      <c r="I39" s="307" t="n">
        <v>1677</v>
      </c>
      <c r="J39" s="93" t="inlineStr">
        <is>
          <t>▲ SEASONAL ACTIVE</t>
        </is>
      </c>
      <c r="K39" s="305" t="n">
        <v>2</v>
      </c>
      <c r="L39" s="107" t="n">
        <v>1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310" t="inlineStr">
        <is>
          <t>Sep</t>
        </is>
      </c>
      <c r="B40" s="311" t="n">
        <v>21930</v>
      </c>
      <c r="C40" s="311" t="n">
        <v>7675</v>
      </c>
      <c r="D40" s="312" t="n">
        <v>3</v>
      </c>
      <c r="E40" s="304" t="n">
        <v>2</v>
      </c>
      <c r="F40" s="308" t="n">
        <v>1</v>
      </c>
      <c r="G40" s="313" t="n">
        <v>3.7</v>
      </c>
      <c r="H40" s="311" t="n">
        <v>8742</v>
      </c>
      <c r="I40" s="307" t="n">
        <v>1677</v>
      </c>
      <c r="J40" s="93" t="inlineStr">
        <is>
          <t>▲ SEASONAL ACTIVE</t>
        </is>
      </c>
      <c r="K40" s="305" t="n">
        <v>2</v>
      </c>
      <c r="L40" s="107" t="n">
        <v>1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310" t="inlineStr">
        <is>
          <t>Oct</t>
        </is>
      </c>
      <c r="B41" s="311" t="n">
        <v>19936</v>
      </c>
      <c r="C41" s="311" t="n">
        <v>6978</v>
      </c>
      <c r="D41" s="312" t="n">
        <v>3</v>
      </c>
      <c r="E41" s="304" t="n">
        <v>2</v>
      </c>
      <c r="F41" s="308" t="n">
        <v>1</v>
      </c>
      <c r="G41" s="313" t="n">
        <v>3.4</v>
      </c>
      <c r="H41" s="311" t="n">
        <v>8630</v>
      </c>
      <c r="I41" s="307" t="n">
        <v>1677</v>
      </c>
      <c r="J41" s="93" t="inlineStr">
        <is>
          <t>▲ SEASONAL ACTIVE</t>
        </is>
      </c>
      <c r="K41" s="305" t="n">
        <v>2</v>
      </c>
      <c r="L41" s="107" t="n">
        <v>1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91" t="inlineStr">
        <is>
          <t>Nov</t>
        </is>
      </c>
      <c r="B42" s="303" t="n">
        <v>17942</v>
      </c>
      <c r="C42" s="303" t="n">
        <v>6280</v>
      </c>
      <c r="D42" s="304" t="n">
        <v>3</v>
      </c>
      <c r="E42" s="304" t="n">
        <v>2</v>
      </c>
      <c r="F42" s="308" t="n">
        <v>1</v>
      </c>
      <c r="G42" s="309" t="n">
        <v>3.1</v>
      </c>
      <c r="H42" s="303" t="n">
        <v>8519</v>
      </c>
      <c r="I42" s="307" t="n">
        <v>1677</v>
      </c>
      <c r="J42" s="92" t="inlineStr">
        <is>
          <t>● ON CORE</t>
        </is>
      </c>
      <c r="K42" s="305" t="n">
        <v>2</v>
      </c>
      <c r="L42" s="107" t="n">
        <v>1</v>
      </c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18" customHeight="1" s="363">
      <c r="A43" s="91" t="inlineStr">
        <is>
          <t>Dec</t>
        </is>
      </c>
      <c r="B43" s="303" t="n">
        <v>18939</v>
      </c>
      <c r="C43" s="303" t="n">
        <v>6629</v>
      </c>
      <c r="D43" s="304" t="n">
        <v>3</v>
      </c>
      <c r="E43" s="304" t="n">
        <v>2</v>
      </c>
      <c r="F43" s="308" t="n">
        <v>1</v>
      </c>
      <c r="G43" s="309" t="n">
        <v>3.2</v>
      </c>
      <c r="H43" s="303" t="n">
        <v>8574</v>
      </c>
      <c r="I43" s="307" t="n">
        <v>1677</v>
      </c>
      <c r="J43" s="92" t="inlineStr">
        <is>
          <t>● ON CORE</t>
        </is>
      </c>
      <c r="K43" s="305" t="n">
        <v>2</v>
      </c>
      <c r="L43" s="107" t="n">
        <v>1</v>
      </c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21.75" customHeight="1" s="363">
      <c r="A44" s="9" t="inlineStr">
        <is>
          <t>ANNUAL TOTAL</t>
        </is>
      </c>
      <c r="B44" s="55" t="n">
        <v>239232</v>
      </c>
      <c r="C44" s="55" t="n">
        <v>83732</v>
      </c>
      <c r="D44" s="314" t="n"/>
      <c r="E44" s="314" t="n"/>
      <c r="F44" s="314" t="n"/>
      <c r="G44" s="314" t="n"/>
      <c r="H44" s="55" t="n">
        <v>101886</v>
      </c>
      <c r="I44" s="307" t="n">
        <v>21801</v>
      </c>
      <c r="J44" s="314" t="n"/>
      <c r="K44" s="314" t="n"/>
      <c r="L44" s="314" t="n"/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21.75" customHeight="1" s="363">
      <c r="A45" s="301" t="n"/>
      <c r="B45" s="301" t="n"/>
      <c r="C45" s="301" t="n"/>
      <c r="D45" s="301" t="n"/>
      <c r="E45" s="301" t="n"/>
      <c r="F45" s="301" t="n"/>
      <c r="G45" s="301" t="n"/>
      <c r="H45" s="301" t="n"/>
      <c r="I45" s="301" t="n"/>
      <c r="J45" s="301" t="n"/>
      <c r="K45" s="301" t="n"/>
      <c r="L45" s="301" t="n"/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30" customHeight="1" s="363">
      <c r="A46" s="351" t="inlineStr">
        <is>
          <t>⚠  ACTION REQUIRED: ACTION: Reduce permanent headcount from 4T → 2T. Hire 1 seasonal therapist for Apr–Oct. Annual saving vs current model: €21,801.</t>
        </is>
      </c>
      <c r="B46" s="398" t="n"/>
      <c r="C46" s="398" t="n"/>
      <c r="D46" s="398" t="n"/>
      <c r="E46" s="398" t="n"/>
      <c r="F46" s="398" t="n"/>
      <c r="G46" s="398" t="n"/>
      <c r="H46" s="398" t="n"/>
      <c r="I46" s="398" t="n"/>
      <c r="J46" s="398" t="n"/>
      <c r="K46" s="398" t="n"/>
      <c r="L46" s="399" t="n"/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30" customHeight="1" s="363">
      <c r="A47" s="301" t="n"/>
      <c r="B47" s="301" t="n"/>
      <c r="C47" s="301" t="n"/>
      <c r="D47" s="301" t="n"/>
      <c r="E47" s="301" t="n"/>
      <c r="F47" s="301" t="n"/>
      <c r="G47" s="301" t="n"/>
      <c r="H47" s="301" t="n"/>
      <c r="I47" s="301" t="n"/>
      <c r="J47" s="301" t="n"/>
      <c r="K47" s="301" t="n"/>
      <c r="L47" s="301" t="n"/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9.5" customHeight="1" s="363">
      <c r="A48" s="436" t="inlineStr">
        <is>
          <t>SEASONAL STAFF ROSTER  —  Core = permanent contract  |  Seasonal = fixed-term Apr–Oct</t>
        </is>
      </c>
      <c r="B48" s="398" t="n"/>
      <c r="C48" s="398" t="n"/>
      <c r="D48" s="398" t="n"/>
      <c r="E48" s="398" t="n"/>
      <c r="F48" s="398" t="n"/>
      <c r="G48" s="398" t="n"/>
      <c r="H48" s="398" t="n"/>
      <c r="I48" s="398" t="n"/>
      <c r="J48" s="398" t="n"/>
      <c r="K48" s="398" t="n"/>
      <c r="L48" s="399" t="n"/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9.5" customHeight="1" s="363">
      <c r="A49" s="103" t="inlineStr">
        <is>
          <t>Name</t>
        </is>
      </c>
      <c r="B49" s="103" t="inlineStr">
        <is>
          <t>Contract Type</t>
        </is>
      </c>
      <c r="C49" s="103" t="inlineStr">
        <is>
          <t>Active</t>
        </is>
      </c>
      <c r="D49" s="103" t="inlineStr">
        <is>
          <t>Notes</t>
        </is>
      </c>
      <c r="E49" s="316" t="n"/>
      <c r="F49" s="316" t="n"/>
      <c r="G49" s="316" t="n"/>
      <c r="H49" s="316" t="n"/>
      <c r="I49" s="316" t="n"/>
      <c r="J49" s="316" t="n"/>
      <c r="K49" s="316" t="n"/>
      <c r="L49" s="316" t="n"/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18" customHeight="1" s="363">
      <c r="A50" s="91" t="inlineStr">
        <is>
          <t>T1 — Maya</t>
        </is>
      </c>
      <c r="B50" s="317" t="inlineStr">
        <is>
          <t>Permanent</t>
        </is>
      </c>
      <c r="C50" s="317" t="inlineStr">
        <is>
          <t>Year-round</t>
        </is>
      </c>
      <c r="D50" s="318" t="inlineStr">
        <is>
          <t>Core team</t>
        </is>
      </c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18" customHeight="1" s="363">
      <c r="A51" s="91" t="inlineStr">
        <is>
          <t>T2 — Sofia</t>
        </is>
      </c>
      <c r="B51" s="317" t="inlineStr">
        <is>
          <t>Permanent</t>
        </is>
      </c>
      <c r="C51" s="317" t="inlineStr">
        <is>
          <t>Year-round</t>
        </is>
      </c>
      <c r="D51" s="318" t="inlineStr">
        <is>
          <t>Core team</t>
        </is>
      </c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01" t="n"/>
      <c r="N51" s="301" t="n"/>
      <c r="O51" s="301" t="n"/>
      <c r="P51" s="301" t="n"/>
      <c r="Q51" s="301" t="n"/>
      <c r="R51" s="301" t="n"/>
      <c r="S51" s="301" t="n"/>
      <c r="T51" s="7" t="n"/>
      <c r="U51" s="7" t="n"/>
      <c r="V51" s="7" t="n"/>
      <c r="W51" s="7" t="n"/>
      <c r="X51" s="7" t="n"/>
      <c r="Y51" s="7" t="n"/>
      <c r="Z51" s="7" t="n"/>
    </row>
    <row r="52" ht="18" customHeight="1" s="363">
      <c r="A52" s="320" t="inlineStr">
        <is>
          <t>T3 — Elena (seasonal)</t>
        </is>
      </c>
      <c r="B52" s="321" t="inlineStr">
        <is>
          <t>Fixed-term seasonal</t>
        </is>
      </c>
      <c r="C52" s="321" t="inlineStr">
        <is>
          <t>Apr 1 – Oct 31</t>
        </is>
      </c>
      <c r="D52" s="322" t="inlineStr">
        <is>
          <t>Recruit by Feb 15</t>
        </is>
      </c>
      <c r="E52" s="323" t="n"/>
      <c r="F52" s="323" t="n"/>
      <c r="G52" s="323" t="n"/>
      <c r="H52" s="323" t="n"/>
      <c r="I52" s="323" t="n"/>
      <c r="J52" s="323" t="n"/>
      <c r="K52" s="323" t="n"/>
      <c r="L52" s="323" t="n"/>
      <c r="M52" s="301" t="n"/>
      <c r="N52" s="301" t="n"/>
      <c r="O52" s="301" t="n"/>
      <c r="P52" s="301" t="n"/>
      <c r="Q52" s="301" t="n"/>
      <c r="R52" s="301" t="n"/>
      <c r="S52" s="301" t="n"/>
      <c r="T52" s="7" t="n"/>
      <c r="U52" s="7" t="n"/>
      <c r="V52" s="7" t="n"/>
      <c r="W52" s="7" t="n"/>
      <c r="X52" s="7" t="n"/>
      <c r="Y52" s="7" t="n"/>
      <c r="Z52" s="7" t="n"/>
    </row>
    <row r="53" ht="18" customHeight="1" s="363">
      <c r="A53" s="301" t="n"/>
      <c r="B53" s="301" t="n"/>
      <c r="C53" s="301" t="n"/>
      <c r="D53" s="301" t="n"/>
      <c r="E53" s="301" t="n"/>
      <c r="F53" s="301" t="n"/>
      <c r="G53" s="301" t="n"/>
      <c r="H53" s="301" t="n"/>
      <c r="I53" s="301" t="n"/>
      <c r="J53" s="301" t="n"/>
      <c r="K53" s="301" t="n"/>
      <c r="L53" s="301" t="n"/>
      <c r="M53" s="301" t="n"/>
      <c r="N53" s="301" t="n"/>
      <c r="O53" s="301" t="n"/>
      <c r="P53" s="301" t="n"/>
      <c r="Q53" s="301" t="n"/>
      <c r="R53" s="301" t="n"/>
      <c r="S53" s="301" t="n"/>
      <c r="T53" s="7" t="n"/>
      <c r="U53" s="7" t="n"/>
      <c r="V53" s="7" t="n"/>
      <c r="W53" s="7" t="n"/>
      <c r="X53" s="7" t="n"/>
      <c r="Y53" s="7" t="n"/>
      <c r="Z53" s="7" t="n"/>
    </row>
    <row r="54" ht="21.75" customHeight="1" s="363">
      <c r="A54" s="262" t="inlineStr">
        <is>
          <t>T:R RATIO QC  —  THERAPIST · RECEPTION HC SPEND RECONCILIATION  |  Validates that cost allocation by role is within industry benchmarks</t>
        </is>
      </c>
      <c r="B54" s="398" t="n"/>
      <c r="C54" s="398" t="n"/>
      <c r="D54" s="398" t="n"/>
      <c r="E54" s="398" t="n"/>
      <c r="F54" s="398" t="n"/>
      <c r="G54" s="398" t="n"/>
      <c r="H54" s="398" t="n"/>
      <c r="I54" s="398" t="n"/>
      <c r="J54" s="398" t="n"/>
      <c r="K54" s="398" t="n"/>
      <c r="L54" s="399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30" customHeight="1" s="363">
      <c r="A55" s="17" t="inlineStr">
        <is>
          <t>Role / Category</t>
        </is>
      </c>
      <c r="B55" s="17" t="inlineStr">
        <is>
          <t>Avg Annual
FTEs</t>
        </is>
      </c>
      <c r="C55" s="17" t="inlineStr">
        <is>
          <t>Annual Cost (€)</t>
        </is>
      </c>
      <c r="D55" s="17" t="inlineStr">
        <is>
          <t>% of Total
Dynamic HC</t>
        </is>
      </c>
      <c r="E55" s="17" t="inlineStr">
        <is>
          <t>Industry
Benchmark</t>
        </is>
      </c>
      <c r="F55" s="17" t="inlineStr">
        <is>
          <t>QC Status</t>
        </is>
      </c>
      <c r="G55" s="324" t="n"/>
      <c r="H55" s="324" t="n"/>
      <c r="I55" s="324" t="n"/>
      <c r="J55" s="324" t="n"/>
      <c r="K55" s="324" t="n"/>
      <c r="L55" s="324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8" customHeight="1" s="363">
      <c r="A56" s="91" t="inlineStr">
        <is>
          <t>Therapists (T)</t>
        </is>
      </c>
      <c r="B56" s="325" t="inlineStr">
        <is>
          <t>2.9</t>
        </is>
      </c>
      <c r="C56" s="303" t="n">
        <v>58695</v>
      </c>
      <c r="D56" s="350" t="n">
        <v>0.5760850362169484</v>
      </c>
      <c r="E56" s="327" t="inlineStr">
        <is>
          <t>60% – 85%</t>
        </is>
      </c>
      <c r="F56" s="351" t="inlineStr">
        <is>
          <t>⚠  T = 57.6% of total HC</t>
        </is>
      </c>
      <c r="G56" s="329" t="n"/>
      <c r="H56" s="329" t="n"/>
      <c r="I56" s="329" t="n"/>
      <c r="J56" s="329" t="n"/>
      <c r="K56" s="329" t="n"/>
      <c r="L56" s="329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8" customHeight="1" s="363">
      <c r="A57" s="330" t="inlineStr">
        <is>
          <t>Reception (R)</t>
        </is>
      </c>
      <c r="B57" s="331" t="inlineStr">
        <is>
          <t>1</t>
        </is>
      </c>
      <c r="C57" s="28" t="n">
        <v>18780</v>
      </c>
      <c r="D57" s="326" t="n">
        <v>0.1843236558506566</v>
      </c>
      <c r="E57" s="332" t="inlineStr">
        <is>
          <t>7% – 20%</t>
        </is>
      </c>
      <c r="F57" s="328" t="inlineStr">
        <is>
          <t>✓  R = 18.4% of total HC</t>
        </is>
      </c>
      <c r="G57" s="333" t="n"/>
      <c r="H57" s="333" t="n"/>
      <c r="I57" s="333" t="n"/>
      <c r="J57" s="333" t="n"/>
      <c r="K57" s="333" t="n"/>
      <c r="L57" s="333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8" customHeight="1" s="363">
      <c r="A58" s="334" t="inlineStr">
        <is>
          <t>Relationship Manager (RM)</t>
        </is>
      </c>
      <c r="B58" s="335" t="inlineStr">
        <is>
          <t>33% FTE</t>
        </is>
      </c>
      <c r="C58" s="336" t="n">
        <v>11064</v>
      </c>
      <c r="D58" s="350" t="n">
        <v>0.1085919557152111</v>
      </c>
      <c r="E58" s="337" t="inlineStr">
        <is>
          <t>3% – 10%</t>
        </is>
      </c>
      <c r="F58" s="351" t="inlineStr">
        <is>
          <t>⚠  RM = 10.9% of total HC</t>
        </is>
      </c>
      <c r="G58" s="338" t="n"/>
      <c r="H58" s="338" t="n"/>
      <c r="I58" s="338" t="n"/>
      <c r="J58" s="338" t="n"/>
      <c r="K58" s="338" t="n"/>
      <c r="L58" s="338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8" customHeight="1" s="363">
      <c r="A59" s="339" t="inlineStr">
        <is>
          <t>Variable Commissions</t>
        </is>
      </c>
      <c r="B59" s="340" t="inlineStr">
        <is>
          <t>—</t>
        </is>
      </c>
      <c r="C59" s="341" t="n">
        <v>13347</v>
      </c>
      <c r="D59" s="342" t="n">
        <v>0.1309993522171839</v>
      </c>
      <c r="E59" s="340" t="inlineStr">
        <is>
          <t>—</t>
        </is>
      </c>
      <c r="F59" s="339" t="inlineStr">
        <is>
          <t>Treatment + retail performance bonuses</t>
        </is>
      </c>
      <c r="G59" s="343" t="n"/>
      <c r="H59" s="343" t="n"/>
      <c r="I59" s="343" t="n"/>
      <c r="J59" s="343" t="n"/>
      <c r="K59" s="343" t="n"/>
      <c r="L59" s="343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21.75" customHeight="1" s="363">
      <c r="A60" s="262" t="inlineStr">
        <is>
          <t>TOTAL DYNAMIC HC</t>
        </is>
      </c>
      <c r="B60" s="344" t="inlineStr">
        <is>
          <t>—</t>
        </is>
      </c>
      <c r="C60" s="55" t="n">
        <v>101886</v>
      </c>
      <c r="D60" s="9" t="inlineStr">
        <is>
          <t>100.0%</t>
        </is>
      </c>
      <c r="E60" s="56" t="n"/>
      <c r="F60" s="56" t="n"/>
      <c r="G60" s="56" t="n"/>
      <c r="H60" s="56" t="n"/>
      <c r="I60" s="56" t="n"/>
      <c r="J60" s="56" t="n"/>
      <c r="K60" s="56" t="n"/>
      <c r="L60" s="56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9.5" customHeight="1" s="363">
      <c r="A61" s="345" t="inlineStr">
        <is>
          <t>T:R Headcount Ratio</t>
        </is>
      </c>
      <c r="B61" s="346" t="inlineStr">
        <is>
          <t>2.9 : 1</t>
        </is>
      </c>
      <c r="C61" s="347" t="inlineStr">
        <is>
          <t>Avg 2.9 therapists : 1 receptionist(s)</t>
        </is>
      </c>
      <c r="D61" s="352" t="n">
        <v>2.9</v>
      </c>
      <c r="E61" s="257" t="inlineStr">
        <is>
          <t>3:1 – 7:1</t>
        </is>
      </c>
      <c r="F61" s="351" t="inlineStr">
        <is>
          <t>⚠  Ratio 2.9:1 — review headcount split</t>
        </is>
      </c>
      <c r="G61" s="324" t="n"/>
      <c r="H61" s="324" t="n"/>
      <c r="I61" s="324" t="n"/>
      <c r="J61" s="324" t="n"/>
      <c r="K61" s="324" t="n"/>
      <c r="L61" s="324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9.5" customHeight="1" s="363">
      <c r="A62" s="345" t="inlineStr">
        <is>
          <t>T:R Spend Ratio (€)</t>
        </is>
      </c>
      <c r="B62" s="346" t="inlineStr">
        <is>
          <t>3.1×</t>
        </is>
      </c>
      <c r="C62" s="347" t="inlineStr">
        <is>
          <t>For every €1 in reception cost, €3.1 spent on therapists</t>
        </is>
      </c>
      <c r="D62" s="306" t="n">
        <v>3.125399361022364</v>
      </c>
      <c r="E62" s="257" t="inlineStr">
        <is>
          <t>3× – 8×</t>
        </is>
      </c>
      <c r="F62" s="328" t="inlineStr">
        <is>
          <t>✓  Spend ratio 3.1× — healthy</t>
        </is>
      </c>
      <c r="G62" s="324" t="n"/>
      <c r="H62" s="324" t="n"/>
      <c r="I62" s="324" t="n"/>
      <c r="J62" s="324" t="n"/>
      <c r="K62" s="324" t="n"/>
      <c r="L62" s="324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9">
    <mergeCell ref="A30:L30"/>
    <mergeCell ref="A1:J1"/>
    <mergeCell ref="A54:L54"/>
    <mergeCell ref="A63:L63"/>
    <mergeCell ref="A46:L46"/>
    <mergeCell ref="A4:J4"/>
    <mergeCell ref="A20:J20"/>
    <mergeCell ref="A2:J2"/>
    <mergeCell ref="A48:L48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SUNNY COAST (ODYCY)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€218,448  |  Monthly avg: €18,204  |  Receptionists: 1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14563</v>
      </c>
      <c r="C6" s="54" t="n">
        <v>5825</v>
      </c>
      <c r="D6" s="54" t="n">
        <v>3255</v>
      </c>
      <c r="E6" s="29" t="n">
        <v>1</v>
      </c>
      <c r="F6" s="54" t="n">
        <v>1565</v>
      </c>
      <c r="G6" s="29" t="n">
        <v>1</v>
      </c>
      <c r="H6" s="54" t="n">
        <v>1005</v>
      </c>
      <c r="I6" s="54" t="n">
        <v>0</v>
      </c>
      <c r="J6" s="54" t="n">
        <v>5825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15473</v>
      </c>
      <c r="C7" s="289" t="n">
        <v>6189</v>
      </c>
      <c r="D7" s="289" t="n">
        <v>3615</v>
      </c>
      <c r="E7" s="290" t="n">
        <v>1</v>
      </c>
      <c r="F7" s="289" t="n">
        <v>1565</v>
      </c>
      <c r="G7" s="290" t="n">
        <v>1</v>
      </c>
      <c r="H7" s="289" t="n">
        <v>1009</v>
      </c>
      <c r="I7" s="289" t="n">
        <v>0</v>
      </c>
      <c r="J7" s="289" t="n">
        <v>6189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16384</v>
      </c>
      <c r="C8" s="54" t="n">
        <v>6554</v>
      </c>
      <c r="D8" s="54" t="n">
        <v>3975</v>
      </c>
      <c r="E8" s="29" t="n">
        <v>1</v>
      </c>
      <c r="F8" s="54" t="n">
        <v>1565</v>
      </c>
      <c r="G8" s="29" t="n">
        <v>1</v>
      </c>
      <c r="H8" s="54" t="n">
        <v>1014</v>
      </c>
      <c r="I8" s="54" t="n">
        <v>0</v>
      </c>
      <c r="J8" s="54" t="n">
        <v>6554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17294</v>
      </c>
      <c r="C9" s="289" t="n">
        <v>6918</v>
      </c>
      <c r="D9" s="289" t="n">
        <v>4335</v>
      </c>
      <c r="E9" s="290" t="n">
        <v>2</v>
      </c>
      <c r="F9" s="289" t="n">
        <v>1565</v>
      </c>
      <c r="G9" s="290" t="n">
        <v>1</v>
      </c>
      <c r="H9" s="289" t="n">
        <v>1018</v>
      </c>
      <c r="I9" s="289" t="n">
        <v>0</v>
      </c>
      <c r="J9" s="289" t="n">
        <v>6918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18204</v>
      </c>
      <c r="C10" s="54" t="n">
        <v>7282</v>
      </c>
      <c r="D10" s="54" t="n">
        <v>4694</v>
      </c>
      <c r="E10" s="29" t="n">
        <v>2</v>
      </c>
      <c r="F10" s="54" t="n">
        <v>1565</v>
      </c>
      <c r="G10" s="29" t="n">
        <v>1</v>
      </c>
      <c r="H10" s="54" t="n">
        <v>1023</v>
      </c>
      <c r="I10" s="54" t="n">
        <v>0</v>
      </c>
      <c r="J10" s="54" t="n">
        <v>7282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20024</v>
      </c>
      <c r="C11" s="289" t="n">
        <v>8010</v>
      </c>
      <c r="D11" s="289" t="n">
        <v>5413</v>
      </c>
      <c r="E11" s="290" t="n">
        <v>2</v>
      </c>
      <c r="F11" s="289" t="n">
        <v>1565</v>
      </c>
      <c r="G11" s="290" t="n">
        <v>1</v>
      </c>
      <c r="H11" s="289" t="n">
        <v>1032</v>
      </c>
      <c r="I11" s="289" t="n">
        <v>0</v>
      </c>
      <c r="J11" s="289" t="n">
        <v>8010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21845</v>
      </c>
      <c r="C12" s="54" t="n">
        <v>8738</v>
      </c>
      <c r="D12" s="54" t="n">
        <v>6132</v>
      </c>
      <c r="E12" s="29" t="n">
        <v>2</v>
      </c>
      <c r="F12" s="54" t="n">
        <v>1565</v>
      </c>
      <c r="G12" s="29" t="n">
        <v>1</v>
      </c>
      <c r="H12" s="54" t="n">
        <v>1041</v>
      </c>
      <c r="I12" s="54" t="n">
        <v>0</v>
      </c>
      <c r="J12" s="54" t="n">
        <v>8738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22755</v>
      </c>
      <c r="C13" s="289" t="n">
        <v>9102</v>
      </c>
      <c r="D13" s="289" t="n">
        <v>6491</v>
      </c>
      <c r="E13" s="290" t="n">
        <v>3</v>
      </c>
      <c r="F13" s="289" t="n">
        <v>1565</v>
      </c>
      <c r="G13" s="290" t="n">
        <v>1</v>
      </c>
      <c r="H13" s="289" t="n">
        <v>1046</v>
      </c>
      <c r="I13" s="289" t="n">
        <v>0</v>
      </c>
      <c r="J13" s="289" t="n">
        <v>9102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20024</v>
      </c>
      <c r="C14" s="54" t="n">
        <v>8010</v>
      </c>
      <c r="D14" s="54" t="n">
        <v>5413</v>
      </c>
      <c r="E14" s="29" t="n">
        <v>2</v>
      </c>
      <c r="F14" s="54" t="n">
        <v>1565</v>
      </c>
      <c r="G14" s="29" t="n">
        <v>1</v>
      </c>
      <c r="H14" s="54" t="n">
        <v>1032</v>
      </c>
      <c r="I14" s="54" t="n">
        <v>0</v>
      </c>
      <c r="J14" s="54" t="n">
        <v>8010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18204</v>
      </c>
      <c r="C15" s="289" t="n">
        <v>7282</v>
      </c>
      <c r="D15" s="289" t="n">
        <v>4694</v>
      </c>
      <c r="E15" s="290" t="n">
        <v>2</v>
      </c>
      <c r="F15" s="289" t="n">
        <v>1565</v>
      </c>
      <c r="G15" s="290" t="n">
        <v>1</v>
      </c>
      <c r="H15" s="289" t="n">
        <v>1023</v>
      </c>
      <c r="I15" s="289" t="n">
        <v>0</v>
      </c>
      <c r="J15" s="289" t="n">
        <v>7282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16384</v>
      </c>
      <c r="C16" s="54" t="n">
        <v>6554</v>
      </c>
      <c r="D16" s="54" t="n">
        <v>3975</v>
      </c>
      <c r="E16" s="29" t="n">
        <v>1</v>
      </c>
      <c r="F16" s="54" t="n">
        <v>1565</v>
      </c>
      <c r="G16" s="29" t="n">
        <v>1</v>
      </c>
      <c r="H16" s="54" t="n">
        <v>1014</v>
      </c>
      <c r="I16" s="54" t="n">
        <v>0</v>
      </c>
      <c r="J16" s="54" t="n">
        <v>6554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17294</v>
      </c>
      <c r="C17" s="289" t="n">
        <v>6918</v>
      </c>
      <c r="D17" s="289" t="n">
        <v>4335</v>
      </c>
      <c r="E17" s="290" t="n">
        <v>2</v>
      </c>
      <c r="F17" s="289" t="n">
        <v>1565</v>
      </c>
      <c r="G17" s="290" t="n">
        <v>1</v>
      </c>
      <c r="H17" s="289" t="n">
        <v>1018</v>
      </c>
      <c r="I17" s="289" t="n">
        <v>0</v>
      </c>
      <c r="J17" s="289" t="n">
        <v>6918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218448</v>
      </c>
      <c r="C18" s="292" t="n">
        <v>87382</v>
      </c>
      <c r="D18" s="292" t="n">
        <v>56327</v>
      </c>
      <c r="E18" s="293" t="n"/>
      <c r="F18" s="292" t="n">
        <v>18780</v>
      </c>
      <c r="G18" s="293" t="n">
        <v>1</v>
      </c>
      <c r="H18" s="292" t="n">
        <v>12275</v>
      </c>
      <c r="I18" s="292" t="n">
        <v>0</v>
      </c>
      <c r="J18" s="292" t="n">
        <v>87382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Natasha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37" t="inlineStr">
        <is>
          <t>B</t>
        </is>
      </c>
      <c r="G22" s="127" t="inlineStr">
        <is>
          <t>A</t>
        </is>
      </c>
      <c r="H22" s="127" t="inlineStr">
        <is>
          <t>A</t>
        </is>
      </c>
      <c r="I22" s="137" t="inlineStr">
        <is>
          <t>B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Priya</t>
        </is>
      </c>
      <c r="B23" s="300" t="inlineStr">
        <is>
          <t>Therapist</t>
        </is>
      </c>
      <c r="C23" s="127" t="inlineStr">
        <is>
          <t>A</t>
        </is>
      </c>
      <c r="D23" s="126" t="inlineStr">
        <is>
          <t>OFF</t>
        </is>
      </c>
      <c r="E23" s="126" t="inlineStr">
        <is>
          <t>OFF</t>
        </is>
      </c>
      <c r="F23" s="127" t="inlineStr">
        <is>
          <t>A</t>
        </is>
      </c>
      <c r="G23" s="137" t="inlineStr">
        <is>
          <t>B</t>
        </is>
      </c>
      <c r="H23" s="127" t="inlineStr">
        <is>
          <t>A</t>
        </is>
      </c>
      <c r="I23" s="127" t="inlineStr">
        <is>
          <t>A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T3 — Irene</t>
        </is>
      </c>
      <c r="B24" s="298" t="inlineStr">
        <is>
          <t>Therapist</t>
        </is>
      </c>
      <c r="C24" s="137" t="inlineStr">
        <is>
          <t>B</t>
        </is>
      </c>
      <c r="D24" s="127" t="inlineStr">
        <is>
          <t>A</t>
        </is>
      </c>
      <c r="E24" s="126" t="inlineStr">
        <is>
          <t>OFF</t>
        </is>
      </c>
      <c r="F24" s="126" t="inlineStr">
        <is>
          <t>OFF</t>
        </is>
      </c>
      <c r="G24" s="127" t="inlineStr">
        <is>
          <t>A</t>
        </is>
      </c>
      <c r="H24" s="137" t="inlineStr">
        <is>
          <t>B</t>
        </is>
      </c>
      <c r="I24" s="127" t="inlineStr">
        <is>
          <t>A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162" t="inlineStr">
        <is>
          <t>R1 — Valentina</t>
        </is>
      </c>
      <c r="B25" s="300" t="inlineStr">
        <is>
          <t>Receptionist</t>
        </is>
      </c>
      <c r="C25" s="127" t="inlineStr">
        <is>
          <t>A</t>
        </is>
      </c>
      <c r="D25" s="127" t="inlineStr">
        <is>
          <t>A</t>
        </is>
      </c>
      <c r="E25" s="126" t="inlineStr">
        <is>
          <t>OFF</t>
        </is>
      </c>
      <c r="F25" s="126" t="inlineStr">
        <is>
          <t>OFF</t>
        </is>
      </c>
      <c r="G25" s="127" t="inlineStr">
        <is>
          <t>A</t>
        </is>
      </c>
      <c r="H25" s="127" t="inlineStr">
        <is>
          <t>A</t>
        </is>
      </c>
      <c r="I25" s="137" t="inlineStr">
        <is>
          <t>B</t>
        </is>
      </c>
      <c r="J25" s="299" t="n">
        <v>5</v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 s="363">
      <c r="A26" s="301" t="n"/>
      <c r="B26" s="301" t="n"/>
      <c r="C26" s="301" t="n"/>
      <c r="D26" s="301" t="n"/>
      <c r="E26" s="301" t="n"/>
      <c r="F26" s="301" t="n"/>
      <c r="G26" s="301" t="n"/>
      <c r="H26" s="301" t="n"/>
      <c r="I26" s="301" t="n"/>
      <c r="J26" s="301" t="n"/>
      <c r="K26" s="301" t="n"/>
      <c r="L26" s="301" t="n"/>
      <c r="M26" s="301" t="n"/>
      <c r="N26" s="301" t="n"/>
      <c r="O26" s="301" t="n"/>
      <c r="P26" s="301" t="n"/>
      <c r="Q26" s="301" t="n"/>
      <c r="R26" s="301" t="n"/>
      <c r="S26" s="301" t="n"/>
      <c r="T26" s="7" t="n"/>
      <c r="U26" s="7" t="n"/>
      <c r="V26" s="7" t="n"/>
      <c r="W26" s="7" t="n"/>
      <c r="X26" s="7" t="n"/>
      <c r="Y26" s="7" t="n"/>
      <c r="Z26" s="7" t="n"/>
    </row>
    <row r="27" ht="13.5" customHeight="1" s="363">
      <c r="A27" s="301" t="n"/>
      <c r="B27" s="301" t="n"/>
      <c r="C27" s="301" t="n"/>
      <c r="D27" s="301" t="n"/>
      <c r="E27" s="301" t="n"/>
      <c r="F27" s="301" t="n"/>
      <c r="G27" s="301" t="n"/>
      <c r="H27" s="301" t="n"/>
      <c r="I27" s="301" t="n"/>
      <c r="J27" s="301" t="n"/>
      <c r="K27" s="301" t="n"/>
      <c r="L27" s="301" t="n"/>
      <c r="M27" s="301" t="n"/>
      <c r="N27" s="301" t="n"/>
      <c r="O27" s="301" t="n"/>
      <c r="P27" s="301" t="n"/>
      <c r="Q27" s="301" t="n"/>
      <c r="R27" s="301" t="n"/>
      <c r="S27" s="301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363">
      <c r="A28" s="301" t="n"/>
      <c r="B28" s="301" t="n"/>
      <c r="C28" s="301" t="n"/>
      <c r="D28" s="301" t="n"/>
      <c r="E28" s="301" t="n"/>
      <c r="F28" s="301" t="n"/>
      <c r="G28" s="301" t="n"/>
      <c r="H28" s="301" t="n"/>
      <c r="I28" s="301" t="n"/>
      <c r="J28" s="301" t="n"/>
      <c r="K28" s="301" t="n"/>
      <c r="L28" s="301" t="n"/>
      <c r="M28" s="301" t="n"/>
      <c r="N28" s="301" t="n"/>
      <c r="O28" s="301" t="n"/>
      <c r="P28" s="301" t="n"/>
      <c r="Q28" s="301" t="n"/>
      <c r="R28" s="301" t="n"/>
      <c r="S28" s="301" t="n"/>
      <c r="T28" s="7" t="n"/>
      <c r="U28" s="7" t="n"/>
      <c r="V28" s="7" t="n"/>
      <c r="W28" s="7" t="n"/>
      <c r="X28" s="7" t="n"/>
      <c r="Y28" s="7" t="n"/>
      <c r="Z28" s="7" t="n"/>
    </row>
    <row r="29" ht="21.75" customHeight="1" s="363">
      <c r="A29" s="435" t="inlineStr">
        <is>
          <t>DYNAMIC STAFFING MODEL  —  Demand-Adjusted Headcount  |  Core = Permanent (year-round)  |  Seasonal = Fixed-term (Apr–Oct)  |  Buffer: 20% above demand floor</t>
        </is>
      </c>
      <c r="B29" s="398" t="n"/>
      <c r="C29" s="398" t="n"/>
      <c r="D29" s="398" t="n"/>
      <c r="E29" s="398" t="n"/>
      <c r="F29" s="398" t="n"/>
      <c r="G29" s="398" t="n"/>
      <c r="H29" s="398" t="n"/>
      <c r="I29" s="398" t="n"/>
      <c r="J29" s="398" t="n"/>
      <c r="K29" s="398" t="n"/>
      <c r="L29" s="399" t="n"/>
      <c r="M29" s="301" t="n"/>
      <c r="N29" s="301" t="n"/>
      <c r="O29" s="301" t="n"/>
      <c r="P29" s="301" t="n"/>
      <c r="Q29" s="301" t="n"/>
      <c r="R29" s="301" t="n"/>
      <c r="S29" s="301" t="n"/>
      <c r="T29" s="7" t="n"/>
      <c r="U29" s="7" t="n"/>
      <c r="V29" s="7" t="n"/>
      <c r="W29" s="7" t="n"/>
      <c r="X29" s="7" t="n"/>
      <c r="Y29" s="7" t="n"/>
      <c r="Z29" s="7" t="n"/>
    </row>
    <row r="30" ht="30" customHeight="1" s="363">
      <c r="A30" s="17" t="inlineStr">
        <is>
          <t>Month</t>
        </is>
      </c>
      <c r="B30" s="17" t="inlineStr">
        <is>
          <t>Revenue (€)</t>
        </is>
      </c>
      <c r="C30" s="17" t="inlineStr">
        <is>
          <t>35% Budget (€)</t>
        </is>
      </c>
      <c r="D30" s="17" t="inlineStr">
        <is>
          <t>Optimal T</t>
        </is>
      </c>
      <c r="E30" s="17" t="inlineStr">
        <is>
          <t>Core T</t>
        </is>
      </c>
      <c r="F30" s="17" t="inlineStr">
        <is>
          <t>Seasonal T</t>
        </is>
      </c>
      <c r="G30" s="17" t="inlineStr">
        <is>
          <t>Avg Tx /
Day / T</t>
        </is>
      </c>
      <c r="H30" s="17" t="inlineStr">
        <is>
          <t>Dynamic HC (€)</t>
        </is>
      </c>
      <c r="I30" s="17" t="inlineStr">
        <is>
          <t>Saving vs
Fixed (€)</t>
        </is>
      </c>
      <c r="J30" s="17" t="inlineStr">
        <is>
          <t>Status</t>
        </is>
      </c>
      <c r="K30" s="17" t="inlineStr">
        <is>
          <t># Core</t>
        </is>
      </c>
      <c r="L30" s="17" t="inlineStr">
        <is>
          <t># Seas</t>
        </is>
      </c>
      <c r="M30" s="301" t="n"/>
      <c r="N30" s="301" t="n"/>
      <c r="O30" s="301" t="n"/>
      <c r="P30" s="301" t="n"/>
      <c r="Q30" s="301" t="n"/>
      <c r="R30" s="301" t="n"/>
      <c r="S30" s="301" t="n"/>
      <c r="T30" s="7" t="n"/>
      <c r="U30" s="7" t="n"/>
      <c r="V30" s="7" t="n"/>
      <c r="W30" s="7" t="n"/>
      <c r="X30" s="7" t="n"/>
      <c r="Y30" s="7" t="n"/>
      <c r="Z30" s="7" t="n"/>
    </row>
    <row r="31" ht="18" customHeight="1" s="363">
      <c r="A31" s="91" t="inlineStr">
        <is>
          <t>Jan</t>
        </is>
      </c>
      <c r="B31" s="303" t="n">
        <v>14563</v>
      </c>
      <c r="C31" s="303" t="n">
        <v>5097</v>
      </c>
      <c r="D31" s="304" t="n">
        <v>2</v>
      </c>
      <c r="E31" s="304" t="n">
        <v>2</v>
      </c>
      <c r="F31" s="305" t="n">
        <v>0</v>
      </c>
      <c r="G31" s="309" t="n">
        <v>3.7</v>
      </c>
      <c r="H31" s="303" t="n">
        <v>6653</v>
      </c>
      <c r="I31" s="307" t="n">
        <v>1677</v>
      </c>
      <c r="J31" s="92" t="inlineStr">
        <is>
          <t>● ON CORE</t>
        </is>
      </c>
      <c r="K31" s="305" t="n">
        <v>2</v>
      </c>
      <c r="L31" s="305" t="n">
        <v>0</v>
      </c>
      <c r="M31" s="301" t="n"/>
      <c r="N31" s="301" t="n"/>
      <c r="O31" s="301" t="n"/>
      <c r="P31" s="301" t="n"/>
      <c r="Q31" s="301" t="n"/>
      <c r="R31" s="301" t="n"/>
      <c r="S31" s="301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363">
      <c r="A32" s="91" t="inlineStr">
        <is>
          <t>Feb</t>
        </is>
      </c>
      <c r="B32" s="303" t="n">
        <v>15473</v>
      </c>
      <c r="C32" s="303" t="n">
        <v>5416</v>
      </c>
      <c r="D32" s="304" t="n">
        <v>2</v>
      </c>
      <c r="E32" s="304" t="n">
        <v>2</v>
      </c>
      <c r="F32" s="305" t="n">
        <v>0</v>
      </c>
      <c r="G32" s="306" t="n">
        <v>4</v>
      </c>
      <c r="H32" s="303" t="n">
        <v>6704</v>
      </c>
      <c r="I32" s="307" t="n">
        <v>1677</v>
      </c>
      <c r="J32" s="92" t="inlineStr">
        <is>
          <t>● ON CORE</t>
        </is>
      </c>
      <c r="K32" s="305" t="n">
        <v>2</v>
      </c>
      <c r="L32" s="305" t="n">
        <v>0</v>
      </c>
      <c r="M32" s="301" t="n"/>
      <c r="N32" s="301" t="n"/>
      <c r="O32" s="301" t="n"/>
      <c r="P32" s="301" t="n"/>
      <c r="Q32" s="301" t="n"/>
      <c r="R32" s="301" t="n"/>
      <c r="S32" s="301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363">
      <c r="A33" s="91" t="inlineStr">
        <is>
          <t>Mar</t>
        </is>
      </c>
      <c r="B33" s="303" t="n">
        <v>16384</v>
      </c>
      <c r="C33" s="303" t="n">
        <v>5734</v>
      </c>
      <c r="D33" s="304" t="n">
        <v>2</v>
      </c>
      <c r="E33" s="304" t="n">
        <v>2</v>
      </c>
      <c r="F33" s="305" t="n">
        <v>0</v>
      </c>
      <c r="G33" s="306" t="n">
        <v>4.2</v>
      </c>
      <c r="H33" s="303" t="n">
        <v>6755</v>
      </c>
      <c r="I33" s="307" t="n">
        <v>1677</v>
      </c>
      <c r="J33" s="92" t="inlineStr">
        <is>
          <t>● ON CORE</t>
        </is>
      </c>
      <c r="K33" s="305" t="n">
        <v>2</v>
      </c>
      <c r="L33" s="305" t="n">
        <v>0</v>
      </c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310" t="inlineStr">
        <is>
          <t>Apr</t>
        </is>
      </c>
      <c r="B34" s="311" t="n">
        <v>17294</v>
      </c>
      <c r="C34" s="311" t="n">
        <v>6053</v>
      </c>
      <c r="D34" s="312" t="n">
        <v>3</v>
      </c>
      <c r="E34" s="304" t="n">
        <v>2</v>
      </c>
      <c r="F34" s="308" t="n">
        <v>1</v>
      </c>
      <c r="G34" s="313" t="n">
        <v>3</v>
      </c>
      <c r="H34" s="311" t="n">
        <v>8482</v>
      </c>
      <c r="I34" s="349" t="n">
        <v>0</v>
      </c>
      <c r="J34" s="93" t="inlineStr">
        <is>
          <t>▲ SEASONAL ACTIVE</t>
        </is>
      </c>
      <c r="K34" s="305" t="n">
        <v>2</v>
      </c>
      <c r="L34" s="107" t="n">
        <v>1</v>
      </c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363">
      <c r="A35" s="310" t="inlineStr">
        <is>
          <t>May</t>
        </is>
      </c>
      <c r="B35" s="311" t="n">
        <v>18204</v>
      </c>
      <c r="C35" s="311" t="n">
        <v>6371</v>
      </c>
      <c r="D35" s="312" t="n">
        <v>3</v>
      </c>
      <c r="E35" s="304" t="n">
        <v>2</v>
      </c>
      <c r="F35" s="308" t="n">
        <v>1</v>
      </c>
      <c r="G35" s="313" t="n">
        <v>3.1</v>
      </c>
      <c r="H35" s="311" t="n">
        <v>8533</v>
      </c>
      <c r="I35" s="349" t="n">
        <v>0</v>
      </c>
      <c r="J35" s="93" t="inlineStr">
        <is>
          <t>▲ SEASONAL ACTIVE</t>
        </is>
      </c>
      <c r="K35" s="305" t="n">
        <v>2</v>
      </c>
      <c r="L35" s="107" t="n">
        <v>1</v>
      </c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363">
      <c r="A36" s="310" t="inlineStr">
        <is>
          <t>Jun</t>
        </is>
      </c>
      <c r="B36" s="311" t="n">
        <v>20024</v>
      </c>
      <c r="C36" s="311" t="n">
        <v>7008</v>
      </c>
      <c r="D36" s="312" t="n">
        <v>3</v>
      </c>
      <c r="E36" s="304" t="n">
        <v>2</v>
      </c>
      <c r="F36" s="308" t="n">
        <v>1</v>
      </c>
      <c r="G36" s="313" t="n">
        <v>3.4</v>
      </c>
      <c r="H36" s="311" t="n">
        <v>8635</v>
      </c>
      <c r="I36" s="349" t="n">
        <v>0</v>
      </c>
      <c r="J36" s="93" t="inlineStr">
        <is>
          <t>▲ SEASONAL ACTIVE</t>
        </is>
      </c>
      <c r="K36" s="305" t="n">
        <v>2</v>
      </c>
      <c r="L36" s="107" t="n">
        <v>1</v>
      </c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363">
      <c r="A37" s="310" t="inlineStr">
        <is>
          <t>Jul</t>
        </is>
      </c>
      <c r="B37" s="311" t="n">
        <v>21845</v>
      </c>
      <c r="C37" s="311" t="n">
        <v>7646</v>
      </c>
      <c r="D37" s="312" t="n">
        <v>3</v>
      </c>
      <c r="E37" s="304" t="n">
        <v>2</v>
      </c>
      <c r="F37" s="308" t="n">
        <v>1</v>
      </c>
      <c r="G37" s="313" t="n">
        <v>3.7</v>
      </c>
      <c r="H37" s="311" t="n">
        <v>8736</v>
      </c>
      <c r="I37" s="349" t="n">
        <v>0</v>
      </c>
      <c r="J37" s="93" t="inlineStr">
        <is>
          <t>▲ SEASONAL ACTIVE</t>
        </is>
      </c>
      <c r="K37" s="305" t="n">
        <v>2</v>
      </c>
      <c r="L37" s="107" t="n">
        <v>1</v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310" t="inlineStr">
        <is>
          <t>Aug</t>
        </is>
      </c>
      <c r="B38" s="311" t="n">
        <v>22755</v>
      </c>
      <c r="C38" s="311" t="n">
        <v>7964</v>
      </c>
      <c r="D38" s="312" t="n">
        <v>3</v>
      </c>
      <c r="E38" s="304" t="n">
        <v>2</v>
      </c>
      <c r="F38" s="308" t="n">
        <v>1</v>
      </c>
      <c r="G38" s="313" t="n">
        <v>3.9</v>
      </c>
      <c r="H38" s="311" t="n">
        <v>8788</v>
      </c>
      <c r="I38" s="349" t="n">
        <v>0</v>
      </c>
      <c r="J38" s="93" t="inlineStr">
        <is>
          <t>▲ SEASONAL ACTIVE</t>
        </is>
      </c>
      <c r="K38" s="305" t="n">
        <v>2</v>
      </c>
      <c r="L38" s="107" t="n">
        <v>1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310" t="inlineStr">
        <is>
          <t>Sep</t>
        </is>
      </c>
      <c r="B39" s="311" t="n">
        <v>20024</v>
      </c>
      <c r="C39" s="311" t="n">
        <v>7008</v>
      </c>
      <c r="D39" s="312" t="n">
        <v>3</v>
      </c>
      <c r="E39" s="304" t="n">
        <v>2</v>
      </c>
      <c r="F39" s="308" t="n">
        <v>1</v>
      </c>
      <c r="G39" s="313" t="n">
        <v>3.4</v>
      </c>
      <c r="H39" s="311" t="n">
        <v>8635</v>
      </c>
      <c r="I39" s="349" t="n">
        <v>0</v>
      </c>
      <c r="J39" s="93" t="inlineStr">
        <is>
          <t>▲ SEASONAL ACTIVE</t>
        </is>
      </c>
      <c r="K39" s="305" t="n">
        <v>2</v>
      </c>
      <c r="L39" s="107" t="n">
        <v>1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310" t="inlineStr">
        <is>
          <t>Oct</t>
        </is>
      </c>
      <c r="B40" s="311" t="n">
        <v>18204</v>
      </c>
      <c r="C40" s="311" t="n">
        <v>6371</v>
      </c>
      <c r="D40" s="312" t="n">
        <v>3</v>
      </c>
      <c r="E40" s="304" t="n">
        <v>2</v>
      </c>
      <c r="F40" s="308" t="n">
        <v>1</v>
      </c>
      <c r="G40" s="313" t="n">
        <v>3.1</v>
      </c>
      <c r="H40" s="311" t="n">
        <v>8533</v>
      </c>
      <c r="I40" s="349" t="n">
        <v>0</v>
      </c>
      <c r="J40" s="93" t="inlineStr">
        <is>
          <t>▲ SEASONAL ACTIVE</t>
        </is>
      </c>
      <c r="K40" s="305" t="n">
        <v>2</v>
      </c>
      <c r="L40" s="107" t="n">
        <v>1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91" t="inlineStr">
        <is>
          <t>Nov</t>
        </is>
      </c>
      <c r="B41" s="303" t="n">
        <v>16384</v>
      </c>
      <c r="C41" s="303" t="n">
        <v>5734</v>
      </c>
      <c r="D41" s="304" t="n">
        <v>2</v>
      </c>
      <c r="E41" s="304" t="n">
        <v>2</v>
      </c>
      <c r="F41" s="305" t="n">
        <v>0</v>
      </c>
      <c r="G41" s="306" t="n">
        <v>4.2</v>
      </c>
      <c r="H41" s="303" t="n">
        <v>6755</v>
      </c>
      <c r="I41" s="307" t="n">
        <v>1677</v>
      </c>
      <c r="J41" s="92" t="inlineStr">
        <is>
          <t>● ON CORE</t>
        </is>
      </c>
      <c r="K41" s="305" t="n">
        <v>2</v>
      </c>
      <c r="L41" s="305" t="n">
        <v>0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363">
      <c r="A42" s="91" t="inlineStr">
        <is>
          <t>Dec</t>
        </is>
      </c>
      <c r="B42" s="303" t="n">
        <v>17294</v>
      </c>
      <c r="C42" s="303" t="n">
        <v>6053</v>
      </c>
      <c r="D42" s="304" t="n">
        <v>3</v>
      </c>
      <c r="E42" s="304" t="n">
        <v>2</v>
      </c>
      <c r="F42" s="308" t="n">
        <v>1</v>
      </c>
      <c r="G42" s="309" t="n">
        <v>3</v>
      </c>
      <c r="H42" s="303" t="n">
        <v>8482</v>
      </c>
      <c r="I42" s="349" t="n">
        <v>0</v>
      </c>
      <c r="J42" s="92" t="inlineStr">
        <is>
          <t>● ON CORE</t>
        </is>
      </c>
      <c r="K42" s="305" t="n">
        <v>2</v>
      </c>
      <c r="L42" s="107" t="n">
        <v>1</v>
      </c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21.75" customHeight="1" s="363">
      <c r="A43" s="9" t="inlineStr">
        <is>
          <t>ANNUAL TOTAL</t>
        </is>
      </c>
      <c r="B43" s="55" t="n">
        <v>218448</v>
      </c>
      <c r="C43" s="55" t="n">
        <v>76455</v>
      </c>
      <c r="D43" s="314" t="n"/>
      <c r="E43" s="314" t="n"/>
      <c r="F43" s="314" t="n"/>
      <c r="G43" s="314" t="n"/>
      <c r="H43" s="55" t="n">
        <v>95691</v>
      </c>
      <c r="I43" s="307" t="n">
        <v>6708</v>
      </c>
      <c r="J43" s="314" t="n"/>
      <c r="K43" s="314" t="n"/>
      <c r="L43" s="314" t="n"/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21.75" customHeight="1" s="363">
      <c r="A44" s="301" t="n"/>
      <c r="B44" s="301" t="n"/>
      <c r="C44" s="301" t="n"/>
      <c r="D44" s="301" t="n"/>
      <c r="E44" s="301" t="n"/>
      <c r="F44" s="301" t="n"/>
      <c r="G44" s="301" t="n"/>
      <c r="H44" s="301" t="n"/>
      <c r="I44" s="301" t="n"/>
      <c r="J44" s="301" t="n"/>
      <c r="K44" s="301" t="n"/>
      <c r="L44" s="301" t="n"/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19.5" customHeight="1" s="363">
      <c r="A45" s="436" t="inlineStr">
        <is>
          <t>SEASONAL STAFF ROSTER  —  Core = permanent contract  |  Seasonal = fixed-term Apr–Oct</t>
        </is>
      </c>
      <c r="B45" s="398" t="n"/>
      <c r="C45" s="398" t="n"/>
      <c r="D45" s="398" t="n"/>
      <c r="E45" s="398" t="n"/>
      <c r="F45" s="398" t="n"/>
      <c r="G45" s="398" t="n"/>
      <c r="H45" s="398" t="n"/>
      <c r="I45" s="398" t="n"/>
      <c r="J45" s="398" t="n"/>
      <c r="K45" s="398" t="n"/>
      <c r="L45" s="399" t="n"/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19.5" customHeight="1" s="363">
      <c r="A46" s="103" t="inlineStr">
        <is>
          <t>Name</t>
        </is>
      </c>
      <c r="B46" s="103" t="inlineStr">
        <is>
          <t>Contract Type</t>
        </is>
      </c>
      <c r="C46" s="103" t="inlineStr">
        <is>
          <t>Active</t>
        </is>
      </c>
      <c r="D46" s="103" t="inlineStr">
        <is>
          <t>Notes</t>
        </is>
      </c>
      <c r="E46" s="316" t="n"/>
      <c r="F46" s="316" t="n"/>
      <c r="G46" s="316" t="n"/>
      <c r="H46" s="316" t="n"/>
      <c r="I46" s="316" t="n"/>
      <c r="J46" s="316" t="n"/>
      <c r="K46" s="316" t="n"/>
      <c r="L46" s="316" t="n"/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18" customHeight="1" s="363">
      <c r="A47" s="91" t="inlineStr">
        <is>
          <t>T1 — Natasha</t>
        </is>
      </c>
      <c r="B47" s="317" t="inlineStr">
        <is>
          <t>Permanent</t>
        </is>
      </c>
      <c r="C47" s="317" t="inlineStr">
        <is>
          <t>Year-round</t>
        </is>
      </c>
      <c r="D47" s="318" t="inlineStr">
        <is>
          <t>Core team</t>
        </is>
      </c>
      <c r="E47" s="319" t="n"/>
      <c r="F47" s="319" t="n"/>
      <c r="G47" s="319" t="n"/>
      <c r="H47" s="319" t="n"/>
      <c r="I47" s="319" t="n"/>
      <c r="J47" s="319" t="n"/>
      <c r="K47" s="319" t="n"/>
      <c r="L47" s="319" t="n"/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363">
      <c r="A48" s="91" t="inlineStr">
        <is>
          <t>T2 — Priya</t>
        </is>
      </c>
      <c r="B48" s="317" t="inlineStr">
        <is>
          <t>Permanent</t>
        </is>
      </c>
      <c r="C48" s="317" t="inlineStr">
        <is>
          <t>Year-round</t>
        </is>
      </c>
      <c r="D48" s="318" t="inlineStr">
        <is>
          <t>Core team</t>
        </is>
      </c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363">
      <c r="A49" s="320" t="inlineStr">
        <is>
          <t>T3 — Irene (seasonal)</t>
        </is>
      </c>
      <c r="B49" s="321" t="inlineStr">
        <is>
          <t>Fixed-term seasonal</t>
        </is>
      </c>
      <c r="C49" s="321" t="inlineStr">
        <is>
          <t>Apr 1 – Oct 31</t>
        </is>
      </c>
      <c r="D49" s="322" t="inlineStr">
        <is>
          <t>Recruit by Feb 15</t>
        </is>
      </c>
      <c r="E49" s="323" t="n"/>
      <c r="F49" s="323" t="n"/>
      <c r="G49" s="323" t="n"/>
      <c r="H49" s="323" t="n"/>
      <c r="I49" s="323" t="n"/>
      <c r="J49" s="323" t="n"/>
      <c r="K49" s="323" t="n"/>
      <c r="L49" s="323" t="n"/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18" customHeight="1" s="363">
      <c r="A50" s="301" t="n"/>
      <c r="B50" s="301" t="n"/>
      <c r="C50" s="301" t="n"/>
      <c r="D50" s="301" t="n"/>
      <c r="E50" s="301" t="n"/>
      <c r="F50" s="301" t="n"/>
      <c r="G50" s="301" t="n"/>
      <c r="H50" s="301" t="n"/>
      <c r="I50" s="301" t="n"/>
      <c r="J50" s="301" t="n"/>
      <c r="K50" s="301" t="n"/>
      <c r="L50" s="301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21.75" customHeight="1" s="363">
      <c r="A51" s="262" t="inlineStr">
        <is>
          <t>T:R RATIO QC  —  THERAPIST · RECEPTION HC SPEND RECONCILIATION  |  Validates that cost allocation by role is within industry benchmarks</t>
        </is>
      </c>
      <c r="B51" s="398" t="n"/>
      <c r="C51" s="398" t="n"/>
      <c r="D51" s="398" t="n"/>
      <c r="E51" s="398" t="n"/>
      <c r="F51" s="398" t="n"/>
      <c r="G51" s="398" t="n"/>
      <c r="H51" s="398" t="n"/>
      <c r="I51" s="398" t="n"/>
      <c r="J51" s="398" t="n"/>
      <c r="K51" s="398" t="n"/>
      <c r="L51" s="399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30" customHeight="1" s="363">
      <c r="A52" s="17" t="inlineStr">
        <is>
          <t>Role / Category</t>
        </is>
      </c>
      <c r="B52" s="17" t="inlineStr">
        <is>
          <t>Avg Annual
FTEs</t>
        </is>
      </c>
      <c r="C52" s="17" t="inlineStr">
        <is>
          <t>Annual Cost (€)</t>
        </is>
      </c>
      <c r="D52" s="17" t="inlineStr">
        <is>
          <t>% of Total
Dynamic HC</t>
        </is>
      </c>
      <c r="E52" s="17" t="inlineStr">
        <is>
          <t>Industry
Benchmark</t>
        </is>
      </c>
      <c r="F52" s="17" t="inlineStr">
        <is>
          <t>QC Status</t>
        </is>
      </c>
      <c r="G52" s="324" t="n"/>
      <c r="H52" s="324" t="n"/>
      <c r="I52" s="324" t="n"/>
      <c r="J52" s="324" t="n"/>
      <c r="K52" s="324" t="n"/>
      <c r="L52" s="324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8" customHeight="1" s="363">
      <c r="A53" s="91" t="inlineStr">
        <is>
          <t>Therapists (T)</t>
        </is>
      </c>
      <c r="B53" s="325" t="inlineStr">
        <is>
          <t>2.7</t>
        </is>
      </c>
      <c r="C53" s="303" t="n">
        <v>53664</v>
      </c>
      <c r="D53" s="350" t="n">
        <v>0.5608050913879048</v>
      </c>
      <c r="E53" s="327" t="inlineStr">
        <is>
          <t>60% – 85%</t>
        </is>
      </c>
      <c r="F53" s="351" t="inlineStr">
        <is>
          <t>⚠  T = 56.1% of total HC</t>
        </is>
      </c>
      <c r="G53" s="329" t="n"/>
      <c r="H53" s="329" t="n"/>
      <c r="I53" s="329" t="n"/>
      <c r="J53" s="329" t="n"/>
      <c r="K53" s="329" t="n"/>
      <c r="L53" s="329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8" customHeight="1" s="363">
      <c r="A54" s="330" t="inlineStr">
        <is>
          <t>Reception (R)</t>
        </is>
      </c>
      <c r="B54" s="331" t="inlineStr">
        <is>
          <t>1</t>
        </is>
      </c>
      <c r="C54" s="28" t="n">
        <v>18780</v>
      </c>
      <c r="D54" s="326" t="n">
        <v>0.1962567012571715</v>
      </c>
      <c r="E54" s="332" t="inlineStr">
        <is>
          <t>7% – 20%</t>
        </is>
      </c>
      <c r="F54" s="328" t="inlineStr">
        <is>
          <t>✓  R = 19.6% of total HC</t>
        </is>
      </c>
      <c r="G54" s="333" t="n"/>
      <c r="H54" s="333" t="n"/>
      <c r="I54" s="333" t="n"/>
      <c r="J54" s="333" t="n"/>
      <c r="K54" s="333" t="n"/>
      <c r="L54" s="333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334" t="inlineStr">
        <is>
          <t>Relationship Manager (RM)</t>
        </is>
      </c>
      <c r="B55" s="335" t="inlineStr">
        <is>
          <t>33% FTE</t>
        </is>
      </c>
      <c r="C55" s="336" t="n">
        <v>11064</v>
      </c>
      <c r="D55" s="350" t="n">
        <v>0.1156221588237138</v>
      </c>
      <c r="E55" s="337" t="inlineStr">
        <is>
          <t>3% – 10%</t>
        </is>
      </c>
      <c r="F55" s="351" t="inlineStr">
        <is>
          <t>⚠  RM = 11.6% of total HC</t>
        </is>
      </c>
      <c r="G55" s="338" t="n"/>
      <c r="H55" s="338" t="n"/>
      <c r="I55" s="338" t="n"/>
      <c r="J55" s="338" t="n"/>
      <c r="K55" s="338" t="n"/>
      <c r="L55" s="338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8" customHeight="1" s="363">
      <c r="A56" s="339" t="inlineStr">
        <is>
          <t>Variable Commissions</t>
        </is>
      </c>
      <c r="B56" s="340" t="inlineStr">
        <is>
          <t>—</t>
        </is>
      </c>
      <c r="C56" s="341" t="n">
        <v>12183</v>
      </c>
      <c r="D56" s="342" t="n">
        <v>0.1273160485312098</v>
      </c>
      <c r="E56" s="340" t="inlineStr">
        <is>
          <t>—</t>
        </is>
      </c>
      <c r="F56" s="339" t="inlineStr">
        <is>
          <t>Treatment + retail performance bonuses</t>
        </is>
      </c>
      <c r="G56" s="343" t="n"/>
      <c r="H56" s="343" t="n"/>
      <c r="I56" s="343" t="n"/>
      <c r="J56" s="343" t="n"/>
      <c r="K56" s="343" t="n"/>
      <c r="L56" s="343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21.75" customHeight="1" s="363">
      <c r="A57" s="262" t="inlineStr">
        <is>
          <t>TOTAL DYNAMIC HC</t>
        </is>
      </c>
      <c r="B57" s="344" t="inlineStr">
        <is>
          <t>—</t>
        </is>
      </c>
      <c r="C57" s="55" t="n">
        <v>95691</v>
      </c>
      <c r="D57" s="9" t="inlineStr">
        <is>
          <t>100.0%</t>
        </is>
      </c>
      <c r="E57" s="56" t="n"/>
      <c r="F57" s="56" t="n"/>
      <c r="G57" s="56" t="n"/>
      <c r="H57" s="56" t="n"/>
      <c r="I57" s="56" t="n"/>
      <c r="J57" s="56" t="n"/>
      <c r="K57" s="56" t="n"/>
      <c r="L57" s="56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9.5" customHeight="1" s="363">
      <c r="A58" s="345" t="inlineStr">
        <is>
          <t>T:R Headcount Ratio</t>
        </is>
      </c>
      <c r="B58" s="346" t="inlineStr">
        <is>
          <t>2.7 : 1</t>
        </is>
      </c>
      <c r="C58" s="347" t="inlineStr">
        <is>
          <t>Avg 2.7 therapists : 1 receptionist(s)</t>
        </is>
      </c>
      <c r="D58" s="352" t="n">
        <v>2.7</v>
      </c>
      <c r="E58" s="257" t="inlineStr">
        <is>
          <t>3:1 – 7:1</t>
        </is>
      </c>
      <c r="F58" s="351" t="inlineStr">
        <is>
          <t>⚠  Ratio 2.7:1 — review headcount split</t>
        </is>
      </c>
      <c r="G58" s="324" t="n"/>
      <c r="H58" s="324" t="n"/>
      <c r="I58" s="324" t="n"/>
      <c r="J58" s="324" t="n"/>
      <c r="K58" s="324" t="n"/>
      <c r="L58" s="324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9.5" customHeight="1" s="363">
      <c r="A59" s="345" t="inlineStr">
        <is>
          <t>T:R Spend Ratio (€)</t>
        </is>
      </c>
      <c r="B59" s="346" t="inlineStr">
        <is>
          <t>2.9×</t>
        </is>
      </c>
      <c r="C59" s="347" t="inlineStr">
        <is>
          <t>For every €1 in reception cost, €2.9 spent on therapists</t>
        </is>
      </c>
      <c r="D59" s="352" t="n">
        <v>2.857507987220447</v>
      </c>
      <c r="E59" s="257" t="inlineStr">
        <is>
          <t>3× – 8×</t>
        </is>
      </c>
      <c r="F59" s="351" t="inlineStr">
        <is>
          <t>⚠  Spend ratio 2.9× — review cost balance</t>
        </is>
      </c>
      <c r="G59" s="324" t="n"/>
      <c r="H59" s="324" t="n"/>
      <c r="I59" s="324" t="n"/>
      <c r="J59" s="324" t="n"/>
      <c r="K59" s="324" t="n"/>
      <c r="L59" s="324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8">
    <mergeCell ref="A1:J1"/>
    <mergeCell ref="A29:L29"/>
    <mergeCell ref="A60:L60"/>
    <mergeCell ref="A51:L51"/>
    <mergeCell ref="A45:L45"/>
    <mergeCell ref="A4:J4"/>
    <mergeCell ref="A20:J20"/>
    <mergeCell ref="A2:J2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NOVOTEL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€168,000  |  Monthly avg: €14,000  |  Receptionists: 0  |  PT monthly: €1,092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11200</v>
      </c>
      <c r="C6" s="54" t="n">
        <v>4480</v>
      </c>
      <c r="D6" s="54" t="n">
        <v>2400</v>
      </c>
      <c r="E6" s="29" t="n">
        <v>1</v>
      </c>
      <c r="F6" s="54" t="n">
        <v>0</v>
      </c>
      <c r="G6" s="29" t="n">
        <v>0</v>
      </c>
      <c r="H6" s="54" t="n">
        <v>988</v>
      </c>
      <c r="I6" s="54" t="n">
        <v>1092</v>
      </c>
      <c r="J6" s="54" t="n">
        <v>4480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11900</v>
      </c>
      <c r="C7" s="289" t="n">
        <v>4760</v>
      </c>
      <c r="D7" s="289" t="n">
        <v>2676</v>
      </c>
      <c r="E7" s="290" t="n">
        <v>1</v>
      </c>
      <c r="F7" s="289" t="n">
        <v>0</v>
      </c>
      <c r="G7" s="290" t="n">
        <v>0</v>
      </c>
      <c r="H7" s="289" t="n">
        <v>992</v>
      </c>
      <c r="I7" s="289" t="n">
        <v>1092</v>
      </c>
      <c r="J7" s="289" t="n">
        <v>4760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12600</v>
      </c>
      <c r="C8" s="54" t="n">
        <v>5040</v>
      </c>
      <c r="D8" s="54" t="n">
        <v>2953</v>
      </c>
      <c r="E8" s="29" t="n">
        <v>1</v>
      </c>
      <c r="F8" s="54" t="n">
        <v>0</v>
      </c>
      <c r="G8" s="29" t="n">
        <v>0</v>
      </c>
      <c r="H8" s="54" t="n">
        <v>995</v>
      </c>
      <c r="I8" s="54" t="n">
        <v>1092</v>
      </c>
      <c r="J8" s="54" t="n">
        <v>5040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13300</v>
      </c>
      <c r="C9" s="289" t="n">
        <v>5320</v>
      </c>
      <c r="D9" s="289" t="n">
        <v>3230</v>
      </c>
      <c r="E9" s="290" t="n">
        <v>1</v>
      </c>
      <c r="F9" s="289" t="n">
        <v>0</v>
      </c>
      <c r="G9" s="290" t="n">
        <v>0</v>
      </c>
      <c r="H9" s="289" t="n">
        <v>998</v>
      </c>
      <c r="I9" s="289" t="n">
        <v>1092</v>
      </c>
      <c r="J9" s="289" t="n">
        <v>5320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14000</v>
      </c>
      <c r="C10" s="54" t="n">
        <v>5600</v>
      </c>
      <c r="D10" s="54" t="n">
        <v>3506</v>
      </c>
      <c r="E10" s="29" t="n">
        <v>1</v>
      </c>
      <c r="F10" s="54" t="n">
        <v>0</v>
      </c>
      <c r="G10" s="29" t="n">
        <v>0</v>
      </c>
      <c r="H10" s="54" t="n">
        <v>1002</v>
      </c>
      <c r="I10" s="54" t="n">
        <v>1092</v>
      </c>
      <c r="J10" s="54" t="n">
        <v>5600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15400</v>
      </c>
      <c r="C11" s="289" t="n">
        <v>6160</v>
      </c>
      <c r="D11" s="289" t="n">
        <v>4059</v>
      </c>
      <c r="E11" s="290" t="n">
        <v>1</v>
      </c>
      <c r="F11" s="289" t="n">
        <v>0</v>
      </c>
      <c r="G11" s="290" t="n">
        <v>0</v>
      </c>
      <c r="H11" s="289" t="n">
        <v>1009</v>
      </c>
      <c r="I11" s="289" t="n">
        <v>1092</v>
      </c>
      <c r="J11" s="289" t="n">
        <v>6160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16800</v>
      </c>
      <c r="C12" s="54" t="n">
        <v>6720</v>
      </c>
      <c r="D12" s="54" t="n">
        <v>4612</v>
      </c>
      <c r="E12" s="29" t="n">
        <v>2</v>
      </c>
      <c r="F12" s="54" t="n">
        <v>0</v>
      </c>
      <c r="G12" s="29" t="n">
        <v>0</v>
      </c>
      <c r="H12" s="54" t="n">
        <v>1016</v>
      </c>
      <c r="I12" s="54" t="n">
        <v>1092</v>
      </c>
      <c r="J12" s="54" t="n">
        <v>6720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17500</v>
      </c>
      <c r="C13" s="289" t="n">
        <v>7000</v>
      </c>
      <c r="D13" s="289" t="n">
        <v>4888</v>
      </c>
      <c r="E13" s="290" t="n">
        <v>2</v>
      </c>
      <c r="F13" s="289" t="n">
        <v>0</v>
      </c>
      <c r="G13" s="290" t="n">
        <v>0</v>
      </c>
      <c r="H13" s="289" t="n">
        <v>1020</v>
      </c>
      <c r="I13" s="289" t="n">
        <v>1092</v>
      </c>
      <c r="J13" s="289" t="n">
        <v>7000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15400</v>
      </c>
      <c r="C14" s="54" t="n">
        <v>6160</v>
      </c>
      <c r="D14" s="54" t="n">
        <v>4059</v>
      </c>
      <c r="E14" s="29" t="n">
        <v>1</v>
      </c>
      <c r="F14" s="54" t="n">
        <v>0</v>
      </c>
      <c r="G14" s="29" t="n">
        <v>0</v>
      </c>
      <c r="H14" s="54" t="n">
        <v>1009</v>
      </c>
      <c r="I14" s="54" t="n">
        <v>1092</v>
      </c>
      <c r="J14" s="54" t="n">
        <v>6160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14000</v>
      </c>
      <c r="C15" s="289" t="n">
        <v>5600</v>
      </c>
      <c r="D15" s="289" t="n">
        <v>3506</v>
      </c>
      <c r="E15" s="290" t="n">
        <v>1</v>
      </c>
      <c r="F15" s="289" t="n">
        <v>0</v>
      </c>
      <c r="G15" s="290" t="n">
        <v>0</v>
      </c>
      <c r="H15" s="289" t="n">
        <v>1002</v>
      </c>
      <c r="I15" s="289" t="n">
        <v>1092</v>
      </c>
      <c r="J15" s="289" t="n">
        <v>5600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12600</v>
      </c>
      <c r="C16" s="54" t="n">
        <v>5040</v>
      </c>
      <c r="D16" s="54" t="n">
        <v>2953</v>
      </c>
      <c r="E16" s="29" t="n">
        <v>1</v>
      </c>
      <c r="F16" s="54" t="n">
        <v>0</v>
      </c>
      <c r="G16" s="29" t="n">
        <v>0</v>
      </c>
      <c r="H16" s="54" t="n">
        <v>995</v>
      </c>
      <c r="I16" s="54" t="n">
        <v>1092</v>
      </c>
      <c r="J16" s="54" t="n">
        <v>5040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13300</v>
      </c>
      <c r="C17" s="289" t="n">
        <v>5320</v>
      </c>
      <c r="D17" s="289" t="n">
        <v>3230</v>
      </c>
      <c r="E17" s="290" t="n">
        <v>1</v>
      </c>
      <c r="F17" s="289" t="n">
        <v>0</v>
      </c>
      <c r="G17" s="290" t="n">
        <v>0</v>
      </c>
      <c r="H17" s="289" t="n">
        <v>998</v>
      </c>
      <c r="I17" s="289" t="n">
        <v>1092</v>
      </c>
      <c r="J17" s="289" t="n">
        <v>5320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168000</v>
      </c>
      <c r="C18" s="292" t="n">
        <v>67200</v>
      </c>
      <c r="D18" s="292" t="n">
        <v>42072</v>
      </c>
      <c r="E18" s="293" t="n"/>
      <c r="F18" s="292" t="n">
        <v>0</v>
      </c>
      <c r="G18" s="293" t="n">
        <v>0</v>
      </c>
      <c r="H18" s="292" t="n">
        <v>12024</v>
      </c>
      <c r="I18" s="292" t="n">
        <v>13104</v>
      </c>
      <c r="J18" s="292" t="n">
        <v>67200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Chiara</t>
        </is>
      </c>
      <c r="B22" s="298" t="inlineStr">
        <is>
          <t>Therapist</t>
        </is>
      </c>
      <c r="C22" s="126" t="inlineStr">
        <is>
          <t>OFF</t>
        </is>
      </c>
      <c r="D22" s="126" t="inlineStr">
        <is>
          <t>OFF</t>
        </is>
      </c>
      <c r="E22" s="127" t="inlineStr">
        <is>
          <t>A</t>
        </is>
      </c>
      <c r="F22" s="137" t="inlineStr">
        <is>
          <t>B</t>
        </is>
      </c>
      <c r="G22" s="127" t="inlineStr">
        <is>
          <t>A</t>
        </is>
      </c>
      <c r="H22" s="127" t="inlineStr">
        <is>
          <t>A</t>
        </is>
      </c>
      <c r="I22" s="137" t="inlineStr">
        <is>
          <t>B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Bianca</t>
        </is>
      </c>
      <c r="B23" s="300" t="inlineStr">
        <is>
          <t>Therapist</t>
        </is>
      </c>
      <c r="C23" s="137" t="inlineStr">
        <is>
          <t>B</t>
        </is>
      </c>
      <c r="D23" s="127" t="inlineStr">
        <is>
          <t>A</t>
        </is>
      </c>
      <c r="E23" s="126" t="inlineStr">
        <is>
          <t>OFF</t>
        </is>
      </c>
      <c r="F23" s="126" t="inlineStr">
        <is>
          <t>OFF</t>
        </is>
      </c>
      <c r="G23" s="137" t="inlineStr">
        <is>
          <t>B</t>
        </is>
      </c>
      <c r="H23" s="137" t="inlineStr">
        <is>
          <t>B</t>
        </is>
      </c>
      <c r="I23" s="127" t="inlineStr">
        <is>
          <t>A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PT1 — Rosaria (PT)</t>
        </is>
      </c>
      <c r="B24" s="298" t="inlineStr">
        <is>
          <t>Therapist (PT)</t>
        </is>
      </c>
      <c r="C24" s="126" t="inlineStr">
        <is>
          <t>OFF</t>
        </is>
      </c>
      <c r="D24" s="126" t="inlineStr">
        <is>
          <t>OFF</t>
        </is>
      </c>
      <c r="E24" s="126" t="inlineStr">
        <is>
          <t>OFF</t>
        </is>
      </c>
      <c r="F24" s="126" t="inlineStr">
        <is>
          <t>OFF</t>
        </is>
      </c>
      <c r="G24" s="127" t="inlineStr">
        <is>
          <t>A</t>
        </is>
      </c>
      <c r="H24" s="127" t="inlineStr">
        <is>
          <t>A</t>
        </is>
      </c>
      <c r="I24" s="127" t="inlineStr">
        <is>
          <t>A</t>
        </is>
      </c>
      <c r="J24" s="299" t="n">
        <v>3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301" t="n"/>
      <c r="B25" s="301" t="n"/>
      <c r="C25" s="301" t="n"/>
      <c r="D25" s="301" t="n"/>
      <c r="E25" s="301" t="n"/>
      <c r="F25" s="301" t="n"/>
      <c r="G25" s="301" t="n"/>
      <c r="H25" s="301" t="n"/>
      <c r="I25" s="301" t="n"/>
      <c r="J25" s="301" t="n"/>
      <c r="K25" s="301" t="n"/>
      <c r="L25" s="301" t="n"/>
      <c r="M25" s="301" t="n"/>
      <c r="N25" s="301" t="n"/>
      <c r="O25" s="301" t="n"/>
      <c r="P25" s="301" t="n"/>
      <c r="Q25" s="301" t="n"/>
      <c r="R25" s="301" t="n"/>
      <c r="S25" s="301" t="n"/>
      <c r="T25" s="7" t="n"/>
      <c r="U25" s="7" t="n"/>
      <c r="V25" s="7" t="n"/>
      <c r="W25" s="7" t="n"/>
      <c r="X25" s="7" t="n"/>
      <c r="Y25" s="7" t="n"/>
      <c r="Z25" s="7" t="n"/>
    </row>
    <row r="26" ht="13.5" customHeight="1" s="363">
      <c r="A26" s="301" t="n"/>
      <c r="B26" s="301" t="n"/>
      <c r="C26" s="301" t="n"/>
      <c r="D26" s="301" t="n"/>
      <c r="E26" s="301" t="n"/>
      <c r="F26" s="301" t="n"/>
      <c r="G26" s="301" t="n"/>
      <c r="H26" s="301" t="n"/>
      <c r="I26" s="301" t="n"/>
      <c r="J26" s="301" t="n"/>
      <c r="K26" s="301" t="n"/>
      <c r="L26" s="301" t="n"/>
      <c r="M26" s="301" t="n"/>
      <c r="N26" s="301" t="n"/>
      <c r="O26" s="301" t="n"/>
      <c r="P26" s="301" t="n"/>
      <c r="Q26" s="301" t="n"/>
      <c r="R26" s="301" t="n"/>
      <c r="S26" s="301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363">
      <c r="A27" s="301" t="n"/>
      <c r="B27" s="301" t="n"/>
      <c r="C27" s="301" t="n"/>
      <c r="D27" s="301" t="n"/>
      <c r="E27" s="301" t="n"/>
      <c r="F27" s="301" t="n"/>
      <c r="G27" s="301" t="n"/>
      <c r="H27" s="301" t="n"/>
      <c r="I27" s="301" t="n"/>
      <c r="J27" s="301" t="n"/>
      <c r="K27" s="301" t="n"/>
      <c r="L27" s="301" t="n"/>
      <c r="M27" s="301" t="n"/>
      <c r="N27" s="301" t="n"/>
      <c r="O27" s="301" t="n"/>
      <c r="P27" s="301" t="n"/>
      <c r="Q27" s="301" t="n"/>
      <c r="R27" s="301" t="n"/>
      <c r="S27" s="301" t="n"/>
      <c r="T27" s="7" t="n"/>
      <c r="U27" s="7" t="n"/>
      <c r="V27" s="7" t="n"/>
      <c r="W27" s="7" t="n"/>
      <c r="X27" s="7" t="n"/>
      <c r="Y27" s="7" t="n"/>
      <c r="Z27" s="7" t="n"/>
    </row>
    <row r="28" ht="21.75" customHeight="1" s="363">
      <c r="A28" s="435" t="inlineStr">
        <is>
          <t>DYNAMIC STAFFING MODEL  —  Demand-Adjusted Headcount  |  Core = Permanent (year-round)  |  Seasonal = Fixed-term (Apr–Oct)  |  Buffer: 20% above demand floor</t>
        </is>
      </c>
      <c r="B28" s="398" t="n"/>
      <c r="C28" s="398" t="n"/>
      <c r="D28" s="398" t="n"/>
      <c r="E28" s="398" t="n"/>
      <c r="F28" s="398" t="n"/>
      <c r="G28" s="398" t="n"/>
      <c r="H28" s="398" t="n"/>
      <c r="I28" s="398" t="n"/>
      <c r="J28" s="398" t="n"/>
      <c r="K28" s="398" t="n"/>
      <c r="L28" s="399" t="n"/>
      <c r="M28" s="301" t="n"/>
      <c r="N28" s="301" t="n"/>
      <c r="O28" s="301" t="n"/>
      <c r="P28" s="301" t="n"/>
      <c r="Q28" s="301" t="n"/>
      <c r="R28" s="301" t="n"/>
      <c r="S28" s="301" t="n"/>
      <c r="T28" s="7" t="n"/>
      <c r="U28" s="7" t="n"/>
      <c r="V28" s="7" t="n"/>
      <c r="W28" s="7" t="n"/>
      <c r="X28" s="7" t="n"/>
      <c r="Y28" s="7" t="n"/>
      <c r="Z28" s="7" t="n"/>
    </row>
    <row r="29" ht="30" customHeight="1" s="363">
      <c r="A29" s="17" t="inlineStr">
        <is>
          <t>Month</t>
        </is>
      </c>
      <c r="B29" s="17" t="inlineStr">
        <is>
          <t>Revenue (€)</t>
        </is>
      </c>
      <c r="C29" s="17" t="inlineStr">
        <is>
          <t>35% Budget (€)</t>
        </is>
      </c>
      <c r="D29" s="17" t="inlineStr">
        <is>
          <t>Optimal T</t>
        </is>
      </c>
      <c r="E29" s="17" t="inlineStr">
        <is>
          <t>Core T</t>
        </is>
      </c>
      <c r="F29" s="17" t="inlineStr">
        <is>
          <t>Seasonal T</t>
        </is>
      </c>
      <c r="G29" s="17" t="inlineStr">
        <is>
          <t>Avg Tx /
Day / T</t>
        </is>
      </c>
      <c r="H29" s="17" t="inlineStr">
        <is>
          <t>Dynamic HC (€)</t>
        </is>
      </c>
      <c r="I29" s="17" t="inlineStr">
        <is>
          <t>Saving vs
Fixed (€)</t>
        </is>
      </c>
      <c r="J29" s="17" t="inlineStr">
        <is>
          <t>Status</t>
        </is>
      </c>
      <c r="K29" s="17" t="inlineStr">
        <is>
          <t># Core</t>
        </is>
      </c>
      <c r="L29" s="17" t="inlineStr">
        <is>
          <t># Seas</t>
        </is>
      </c>
      <c r="M29" s="301" t="n"/>
      <c r="N29" s="301" t="n"/>
      <c r="O29" s="301" t="n"/>
      <c r="P29" s="301" t="n"/>
      <c r="Q29" s="301" t="n"/>
      <c r="R29" s="301" t="n"/>
      <c r="S29" s="301" t="n"/>
      <c r="T29" s="7" t="n"/>
      <c r="U29" s="7" t="n"/>
      <c r="V29" s="7" t="n"/>
      <c r="W29" s="7" t="n"/>
      <c r="X29" s="7" t="n"/>
      <c r="Y29" s="7" t="n"/>
      <c r="Z29" s="7" t="n"/>
    </row>
    <row r="30" ht="18" customHeight="1" s="363">
      <c r="A30" s="91" t="inlineStr">
        <is>
          <t>Jan</t>
        </is>
      </c>
      <c r="B30" s="303" t="n">
        <v>11200</v>
      </c>
      <c r="C30" s="303" t="n">
        <v>3920</v>
      </c>
      <c r="D30" s="304" t="n">
        <v>2</v>
      </c>
      <c r="E30" s="304" t="n">
        <v>1</v>
      </c>
      <c r="F30" s="308" t="n">
        <v>1</v>
      </c>
      <c r="G30" s="309" t="n">
        <v>2.9</v>
      </c>
      <c r="H30" s="303" t="n">
        <v>4900</v>
      </c>
      <c r="I30" s="349" t="n">
        <v>0</v>
      </c>
      <c r="J30" s="92" t="inlineStr">
        <is>
          <t>● ON CORE</t>
        </is>
      </c>
      <c r="K30" s="305" t="n">
        <v>1</v>
      </c>
      <c r="L30" s="107" t="n">
        <v>1</v>
      </c>
      <c r="M30" s="301" t="n"/>
      <c r="N30" s="301" t="n"/>
      <c r="O30" s="301" t="n"/>
      <c r="P30" s="301" t="n"/>
      <c r="Q30" s="301" t="n"/>
      <c r="R30" s="301" t="n"/>
      <c r="S30" s="301" t="n"/>
      <c r="T30" s="7" t="n"/>
      <c r="U30" s="7" t="n"/>
      <c r="V30" s="7" t="n"/>
      <c r="W30" s="7" t="n"/>
      <c r="X30" s="7" t="n"/>
      <c r="Y30" s="7" t="n"/>
      <c r="Z30" s="7" t="n"/>
    </row>
    <row r="31" ht="18" customHeight="1" s="363">
      <c r="A31" s="91" t="inlineStr">
        <is>
          <t>Feb</t>
        </is>
      </c>
      <c r="B31" s="303" t="n">
        <v>11900</v>
      </c>
      <c r="C31" s="303" t="n">
        <v>4165</v>
      </c>
      <c r="D31" s="304" t="n">
        <v>2</v>
      </c>
      <c r="E31" s="304" t="n">
        <v>1</v>
      </c>
      <c r="F31" s="308" t="n">
        <v>1</v>
      </c>
      <c r="G31" s="309" t="n">
        <v>3</v>
      </c>
      <c r="H31" s="303" t="n">
        <v>4940</v>
      </c>
      <c r="I31" s="349" t="n">
        <v>0</v>
      </c>
      <c r="J31" s="92" t="inlineStr">
        <is>
          <t>● ON CORE</t>
        </is>
      </c>
      <c r="K31" s="305" t="n">
        <v>1</v>
      </c>
      <c r="L31" s="107" t="n">
        <v>1</v>
      </c>
      <c r="M31" s="301" t="n"/>
      <c r="N31" s="301" t="n"/>
      <c r="O31" s="301" t="n"/>
      <c r="P31" s="301" t="n"/>
      <c r="Q31" s="301" t="n"/>
      <c r="R31" s="301" t="n"/>
      <c r="S31" s="301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363">
      <c r="A32" s="91" t="inlineStr">
        <is>
          <t>Mar</t>
        </is>
      </c>
      <c r="B32" s="303" t="n">
        <v>12600</v>
      </c>
      <c r="C32" s="303" t="n">
        <v>4410</v>
      </c>
      <c r="D32" s="304" t="n">
        <v>2</v>
      </c>
      <c r="E32" s="304" t="n">
        <v>1</v>
      </c>
      <c r="F32" s="308" t="n">
        <v>1</v>
      </c>
      <c r="G32" s="309" t="n">
        <v>3.2</v>
      </c>
      <c r="H32" s="303" t="n">
        <v>4979</v>
      </c>
      <c r="I32" s="349" t="n">
        <v>0</v>
      </c>
      <c r="J32" s="92" t="inlineStr">
        <is>
          <t>● ON CORE</t>
        </is>
      </c>
      <c r="K32" s="305" t="n">
        <v>1</v>
      </c>
      <c r="L32" s="107" t="n">
        <v>1</v>
      </c>
      <c r="M32" s="301" t="n"/>
      <c r="N32" s="301" t="n"/>
      <c r="O32" s="301" t="n"/>
      <c r="P32" s="301" t="n"/>
      <c r="Q32" s="301" t="n"/>
      <c r="R32" s="301" t="n"/>
      <c r="S32" s="301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363">
      <c r="A33" s="310" t="inlineStr">
        <is>
          <t>Apr</t>
        </is>
      </c>
      <c r="B33" s="311" t="n">
        <v>13300</v>
      </c>
      <c r="C33" s="311" t="n">
        <v>4655</v>
      </c>
      <c r="D33" s="312" t="n">
        <v>2</v>
      </c>
      <c r="E33" s="304" t="n">
        <v>1</v>
      </c>
      <c r="F33" s="308" t="n">
        <v>1</v>
      </c>
      <c r="G33" s="313" t="n">
        <v>3.4</v>
      </c>
      <c r="H33" s="311" t="n">
        <v>5018</v>
      </c>
      <c r="I33" s="349" t="n">
        <v>0</v>
      </c>
      <c r="J33" s="93" t="inlineStr">
        <is>
          <t>▲ SEASONAL ACTIVE</t>
        </is>
      </c>
      <c r="K33" s="305" t="n">
        <v>1</v>
      </c>
      <c r="L33" s="107" t="n">
        <v>1</v>
      </c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310" t="inlineStr">
        <is>
          <t>May</t>
        </is>
      </c>
      <c r="B34" s="311" t="n">
        <v>14000</v>
      </c>
      <c r="C34" s="311" t="n">
        <v>4900</v>
      </c>
      <c r="D34" s="312" t="n">
        <v>2</v>
      </c>
      <c r="E34" s="304" t="n">
        <v>1</v>
      </c>
      <c r="F34" s="308" t="n">
        <v>1</v>
      </c>
      <c r="G34" s="313" t="n">
        <v>3.6</v>
      </c>
      <c r="H34" s="311" t="n">
        <v>5057</v>
      </c>
      <c r="I34" s="349" t="n">
        <v>0</v>
      </c>
      <c r="J34" s="93" t="inlineStr">
        <is>
          <t>▲ SEASONAL ACTIVE</t>
        </is>
      </c>
      <c r="K34" s="305" t="n">
        <v>1</v>
      </c>
      <c r="L34" s="107" t="n">
        <v>1</v>
      </c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363">
      <c r="A35" s="310" t="inlineStr">
        <is>
          <t>Jun</t>
        </is>
      </c>
      <c r="B35" s="311" t="n">
        <v>15400</v>
      </c>
      <c r="C35" s="311" t="n">
        <v>5390</v>
      </c>
      <c r="D35" s="312" t="n">
        <v>2</v>
      </c>
      <c r="E35" s="304" t="n">
        <v>1</v>
      </c>
      <c r="F35" s="308" t="n">
        <v>1</v>
      </c>
      <c r="G35" s="313" t="n">
        <v>3.9</v>
      </c>
      <c r="H35" s="311" t="n">
        <v>5135</v>
      </c>
      <c r="I35" s="349" t="n">
        <v>0</v>
      </c>
      <c r="J35" s="93" t="inlineStr">
        <is>
          <t>▲ SEASONAL ACTIVE</t>
        </is>
      </c>
      <c r="K35" s="305" t="n">
        <v>1</v>
      </c>
      <c r="L35" s="107" t="n">
        <v>1</v>
      </c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363">
      <c r="A36" s="310" t="inlineStr">
        <is>
          <t>Jul</t>
        </is>
      </c>
      <c r="B36" s="311" t="n">
        <v>16800</v>
      </c>
      <c r="C36" s="311" t="n">
        <v>5880</v>
      </c>
      <c r="D36" s="312" t="n">
        <v>3</v>
      </c>
      <c r="E36" s="304" t="n">
        <v>1</v>
      </c>
      <c r="F36" s="308" t="n">
        <v>2</v>
      </c>
      <c r="G36" s="313" t="n">
        <v>2.9</v>
      </c>
      <c r="H36" s="311" t="n">
        <v>6890</v>
      </c>
      <c r="I36" s="354" t="n">
        <v>-1677</v>
      </c>
      <c r="J36" s="93" t="inlineStr">
        <is>
          <t>▲ SEASONAL ACTIVE</t>
        </is>
      </c>
      <c r="K36" s="305" t="n">
        <v>1</v>
      </c>
      <c r="L36" s="107" t="n">
        <v>2</v>
      </c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363">
      <c r="A37" s="310" t="inlineStr">
        <is>
          <t>Aug</t>
        </is>
      </c>
      <c r="B37" s="311" t="n">
        <v>17500</v>
      </c>
      <c r="C37" s="311" t="n">
        <v>6125</v>
      </c>
      <c r="D37" s="312" t="n">
        <v>3</v>
      </c>
      <c r="E37" s="304" t="n">
        <v>1</v>
      </c>
      <c r="F37" s="308" t="n">
        <v>2</v>
      </c>
      <c r="G37" s="313" t="n">
        <v>3</v>
      </c>
      <c r="H37" s="311" t="n">
        <v>6929</v>
      </c>
      <c r="I37" s="354" t="n">
        <v>-1677</v>
      </c>
      <c r="J37" s="93" t="inlineStr">
        <is>
          <t>▲ SEASONAL ACTIVE</t>
        </is>
      </c>
      <c r="K37" s="305" t="n">
        <v>1</v>
      </c>
      <c r="L37" s="107" t="n">
        <v>2</v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310" t="inlineStr">
        <is>
          <t>Sep</t>
        </is>
      </c>
      <c r="B38" s="311" t="n">
        <v>15400</v>
      </c>
      <c r="C38" s="311" t="n">
        <v>5390</v>
      </c>
      <c r="D38" s="312" t="n">
        <v>2</v>
      </c>
      <c r="E38" s="304" t="n">
        <v>1</v>
      </c>
      <c r="F38" s="308" t="n">
        <v>1</v>
      </c>
      <c r="G38" s="313" t="n">
        <v>3.9</v>
      </c>
      <c r="H38" s="311" t="n">
        <v>5135</v>
      </c>
      <c r="I38" s="349" t="n">
        <v>0</v>
      </c>
      <c r="J38" s="93" t="inlineStr">
        <is>
          <t>▲ SEASONAL ACTIVE</t>
        </is>
      </c>
      <c r="K38" s="305" t="n">
        <v>1</v>
      </c>
      <c r="L38" s="107" t="n">
        <v>1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310" t="inlineStr">
        <is>
          <t>Oct</t>
        </is>
      </c>
      <c r="B39" s="311" t="n">
        <v>14000</v>
      </c>
      <c r="C39" s="311" t="n">
        <v>4900</v>
      </c>
      <c r="D39" s="312" t="n">
        <v>2</v>
      </c>
      <c r="E39" s="304" t="n">
        <v>1</v>
      </c>
      <c r="F39" s="308" t="n">
        <v>1</v>
      </c>
      <c r="G39" s="313" t="n">
        <v>3.6</v>
      </c>
      <c r="H39" s="311" t="n">
        <v>5057</v>
      </c>
      <c r="I39" s="349" t="n">
        <v>0</v>
      </c>
      <c r="J39" s="93" t="inlineStr">
        <is>
          <t>▲ SEASONAL ACTIVE</t>
        </is>
      </c>
      <c r="K39" s="305" t="n">
        <v>1</v>
      </c>
      <c r="L39" s="107" t="n">
        <v>1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91" t="inlineStr">
        <is>
          <t>Nov</t>
        </is>
      </c>
      <c r="B40" s="303" t="n">
        <v>12600</v>
      </c>
      <c r="C40" s="303" t="n">
        <v>4410</v>
      </c>
      <c r="D40" s="304" t="n">
        <v>2</v>
      </c>
      <c r="E40" s="304" t="n">
        <v>1</v>
      </c>
      <c r="F40" s="308" t="n">
        <v>1</v>
      </c>
      <c r="G40" s="309" t="n">
        <v>3.2</v>
      </c>
      <c r="H40" s="303" t="n">
        <v>4979</v>
      </c>
      <c r="I40" s="349" t="n">
        <v>0</v>
      </c>
      <c r="J40" s="92" t="inlineStr">
        <is>
          <t>● ON CORE</t>
        </is>
      </c>
      <c r="K40" s="305" t="n">
        <v>1</v>
      </c>
      <c r="L40" s="107" t="n">
        <v>1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91" t="inlineStr">
        <is>
          <t>Dec</t>
        </is>
      </c>
      <c r="B41" s="303" t="n">
        <v>13300</v>
      </c>
      <c r="C41" s="303" t="n">
        <v>4655</v>
      </c>
      <c r="D41" s="304" t="n">
        <v>2</v>
      </c>
      <c r="E41" s="304" t="n">
        <v>1</v>
      </c>
      <c r="F41" s="308" t="n">
        <v>1</v>
      </c>
      <c r="G41" s="309" t="n">
        <v>3.4</v>
      </c>
      <c r="H41" s="303" t="n">
        <v>5018</v>
      </c>
      <c r="I41" s="349" t="n">
        <v>0</v>
      </c>
      <c r="J41" s="92" t="inlineStr">
        <is>
          <t>● ON CORE</t>
        </is>
      </c>
      <c r="K41" s="305" t="n">
        <v>1</v>
      </c>
      <c r="L41" s="107" t="n">
        <v>1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21.75" customHeight="1" s="363">
      <c r="A42" s="9" t="inlineStr">
        <is>
          <t>ANNUAL TOTAL</t>
        </is>
      </c>
      <c r="B42" s="55" t="n">
        <v>168000</v>
      </c>
      <c r="C42" s="55" t="n">
        <v>58800</v>
      </c>
      <c r="D42" s="314" t="n"/>
      <c r="E42" s="314" t="n"/>
      <c r="F42" s="314" t="n"/>
      <c r="G42" s="314" t="n"/>
      <c r="H42" s="55" t="n">
        <v>64037</v>
      </c>
      <c r="I42" s="354" t="n">
        <v>-3354</v>
      </c>
      <c r="J42" s="314" t="n"/>
      <c r="K42" s="314" t="n"/>
      <c r="L42" s="314" t="n"/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21.75" customHeight="1" s="363">
      <c r="A43" s="301" t="n"/>
      <c r="B43" s="301" t="n"/>
      <c r="C43" s="301" t="n"/>
      <c r="D43" s="301" t="n"/>
      <c r="E43" s="301" t="n"/>
      <c r="F43" s="301" t="n"/>
      <c r="G43" s="301" t="n"/>
      <c r="H43" s="301" t="n"/>
      <c r="I43" s="301" t="n"/>
      <c r="J43" s="301" t="n"/>
      <c r="K43" s="301" t="n"/>
      <c r="L43" s="301" t="n"/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19.5" customHeight="1" s="363">
      <c r="A44" s="436" t="inlineStr">
        <is>
          <t>SEASONAL STAFF ROSTER  —  Core = permanent contract  |  Seasonal = fixed-term Apr–Oct</t>
        </is>
      </c>
      <c r="B44" s="398" t="n"/>
      <c r="C44" s="398" t="n"/>
      <c r="D44" s="398" t="n"/>
      <c r="E44" s="398" t="n"/>
      <c r="F44" s="398" t="n"/>
      <c r="G44" s="398" t="n"/>
      <c r="H44" s="398" t="n"/>
      <c r="I44" s="398" t="n"/>
      <c r="J44" s="398" t="n"/>
      <c r="K44" s="398" t="n"/>
      <c r="L44" s="399" t="n"/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19.5" customHeight="1" s="363">
      <c r="A45" s="103" t="inlineStr">
        <is>
          <t>Name</t>
        </is>
      </c>
      <c r="B45" s="103" t="inlineStr">
        <is>
          <t>Contract Type</t>
        </is>
      </c>
      <c r="C45" s="103" t="inlineStr">
        <is>
          <t>Active</t>
        </is>
      </c>
      <c r="D45" s="103" t="inlineStr">
        <is>
          <t>Notes</t>
        </is>
      </c>
      <c r="E45" s="316" t="n"/>
      <c r="F45" s="316" t="n"/>
      <c r="G45" s="316" t="n"/>
      <c r="H45" s="316" t="n"/>
      <c r="I45" s="316" t="n"/>
      <c r="J45" s="316" t="n"/>
      <c r="K45" s="316" t="n"/>
      <c r="L45" s="316" t="n"/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18" customHeight="1" s="363">
      <c r="A46" s="91" t="inlineStr">
        <is>
          <t>T1 — Chiara</t>
        </is>
      </c>
      <c r="B46" s="317" t="inlineStr">
        <is>
          <t>Permanent</t>
        </is>
      </c>
      <c r="C46" s="317" t="inlineStr">
        <is>
          <t>Year-round</t>
        </is>
      </c>
      <c r="D46" s="318" t="inlineStr">
        <is>
          <t>Core team</t>
        </is>
      </c>
      <c r="E46" s="319" t="n"/>
      <c r="F46" s="319" t="n"/>
      <c r="G46" s="319" t="n"/>
      <c r="H46" s="319" t="n"/>
      <c r="I46" s="319" t="n"/>
      <c r="J46" s="319" t="n"/>
      <c r="K46" s="319" t="n"/>
      <c r="L46" s="319" t="n"/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18" customHeight="1" s="363">
      <c r="A47" s="320" t="inlineStr">
        <is>
          <t>T2 — Bianca (seasonal)</t>
        </is>
      </c>
      <c r="B47" s="321" t="inlineStr">
        <is>
          <t>Fixed-term seasonal</t>
        </is>
      </c>
      <c r="C47" s="321" t="inlineStr">
        <is>
          <t>Apr 1 – Oct 31</t>
        </is>
      </c>
      <c r="D47" s="322" t="inlineStr">
        <is>
          <t>Recruit by Feb 15</t>
        </is>
      </c>
      <c r="E47" s="323" t="n"/>
      <c r="F47" s="323" t="n"/>
      <c r="G47" s="323" t="n"/>
      <c r="H47" s="323" t="n"/>
      <c r="I47" s="323" t="n"/>
      <c r="J47" s="323" t="n"/>
      <c r="K47" s="323" t="n"/>
      <c r="L47" s="323" t="n"/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363">
      <c r="A48" s="320" t="inlineStr">
        <is>
          <t>T3 — (new hire, seasonal)</t>
        </is>
      </c>
      <c r="B48" s="321" t="inlineStr">
        <is>
          <t>Fixed-term seasonal</t>
        </is>
      </c>
      <c r="C48" s="321" t="inlineStr">
        <is>
          <t>Apr 1 – Oct 31</t>
        </is>
      </c>
      <c r="D48" s="322" t="inlineStr">
        <is>
          <t>Recruit by Feb 15</t>
        </is>
      </c>
      <c r="E48" s="323" t="n"/>
      <c r="F48" s="323" t="n"/>
      <c r="G48" s="323" t="n"/>
      <c r="H48" s="323" t="n"/>
      <c r="I48" s="323" t="n"/>
      <c r="J48" s="323" t="n"/>
      <c r="K48" s="323" t="n"/>
      <c r="L48" s="323" t="n"/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363">
      <c r="A49" s="301" t="n"/>
      <c r="B49" s="301" t="n"/>
      <c r="C49" s="301" t="n"/>
      <c r="D49" s="301" t="n"/>
      <c r="E49" s="301" t="n"/>
      <c r="F49" s="301" t="n"/>
      <c r="G49" s="301" t="n"/>
      <c r="H49" s="301" t="n"/>
      <c r="I49" s="301" t="n"/>
      <c r="J49" s="301" t="n"/>
      <c r="K49" s="301" t="n"/>
      <c r="L49" s="301" t="n"/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21.75" customHeight="1" s="363">
      <c r="A50" s="262" t="inlineStr">
        <is>
          <t>T:R RATIO QC  —  THERAPIST · RECEPTION HC SPEND RECONCILIATION  |  Validates that cost allocation by role is within industry benchmarks</t>
        </is>
      </c>
      <c r="B50" s="398" t="n"/>
      <c r="C50" s="398" t="n"/>
      <c r="D50" s="398" t="n"/>
      <c r="E50" s="398" t="n"/>
      <c r="F50" s="398" t="n"/>
      <c r="G50" s="398" t="n"/>
      <c r="H50" s="398" t="n"/>
      <c r="I50" s="398" t="n"/>
      <c r="J50" s="398" t="n"/>
      <c r="K50" s="398" t="n"/>
      <c r="L50" s="399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30" customHeight="1" s="363">
      <c r="A51" s="17" t="inlineStr">
        <is>
          <t>Role / Category</t>
        </is>
      </c>
      <c r="B51" s="17" t="inlineStr">
        <is>
          <t>Avg Annual
FTEs</t>
        </is>
      </c>
      <c r="C51" s="17" t="inlineStr">
        <is>
          <t>Annual Cost (€)</t>
        </is>
      </c>
      <c r="D51" s="17" t="inlineStr">
        <is>
          <t>% of Total
Dynamic HC</t>
        </is>
      </c>
      <c r="E51" s="17" t="inlineStr">
        <is>
          <t>Industry
Benchmark</t>
        </is>
      </c>
      <c r="F51" s="17" t="inlineStr">
        <is>
          <t>QC Status</t>
        </is>
      </c>
      <c r="G51" s="324" t="n"/>
      <c r="H51" s="324" t="n"/>
      <c r="I51" s="324" t="n"/>
      <c r="J51" s="324" t="n"/>
      <c r="K51" s="324" t="n"/>
      <c r="L51" s="324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8" customHeight="1" s="363">
      <c r="A52" s="91" t="inlineStr">
        <is>
          <t>Therapists (T)</t>
        </is>
      </c>
      <c r="B52" s="325" t="inlineStr">
        <is>
          <t>2.2</t>
        </is>
      </c>
      <c r="C52" s="303" t="n">
        <v>43602</v>
      </c>
      <c r="D52" s="326" t="n">
        <v>0.6808876118493996</v>
      </c>
      <c r="E52" s="327" t="inlineStr">
        <is>
          <t>60% – 85%</t>
        </is>
      </c>
      <c r="F52" s="328" t="inlineStr">
        <is>
          <t>✓  T = 68.1% of total HC</t>
        </is>
      </c>
      <c r="G52" s="329" t="n"/>
      <c r="H52" s="329" t="n"/>
      <c r="I52" s="329" t="n"/>
      <c r="J52" s="329" t="n"/>
      <c r="K52" s="329" t="n"/>
      <c r="L52" s="329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8" customHeight="1" s="363">
      <c r="A53" s="355" t="inlineStr">
        <is>
          <t>Reception (R)</t>
        </is>
      </c>
      <c r="B53" s="356" t="inlineStr">
        <is>
          <t>0</t>
        </is>
      </c>
      <c r="C53" s="357" t="n">
        <v>0</v>
      </c>
      <c r="D53" s="358" t="inlineStr">
        <is>
          <t>N/A</t>
        </is>
      </c>
      <c r="E53" s="358" t="inlineStr">
        <is>
          <t>7% – 20%</t>
        </is>
      </c>
      <c r="F53" s="358" t="inlineStr">
        <is>
          <t>Therapy-only model (by design)</t>
        </is>
      </c>
      <c r="G53" s="324" t="n"/>
      <c r="H53" s="324" t="n"/>
      <c r="I53" s="324" t="n"/>
      <c r="J53" s="324" t="n"/>
      <c r="K53" s="324" t="n"/>
      <c r="L53" s="324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8" customHeight="1" s="363">
      <c r="A54" s="334" t="inlineStr">
        <is>
          <t>Relationship Manager (RM)</t>
        </is>
      </c>
      <c r="B54" s="335" t="inlineStr">
        <is>
          <t>33% FTE</t>
        </is>
      </c>
      <c r="C54" s="336" t="n">
        <v>11064</v>
      </c>
      <c r="D54" s="350" t="n">
        <v>0.172775114386995</v>
      </c>
      <c r="E54" s="337" t="inlineStr">
        <is>
          <t>3% – 10%</t>
        </is>
      </c>
      <c r="F54" s="351" t="inlineStr">
        <is>
          <t>⚠  RM = 17.3% of total HC</t>
        </is>
      </c>
      <c r="G54" s="338" t="n"/>
      <c r="H54" s="338" t="n"/>
      <c r="I54" s="338" t="n"/>
      <c r="J54" s="338" t="n"/>
      <c r="K54" s="338" t="n"/>
      <c r="L54" s="338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339" t="inlineStr">
        <is>
          <t>Variable Commissions</t>
        </is>
      </c>
      <c r="B55" s="340" t="inlineStr">
        <is>
          <t>—</t>
        </is>
      </c>
      <c r="C55" s="341" t="n">
        <v>9371</v>
      </c>
      <c r="D55" s="342" t="n">
        <v>0.1463372737636054</v>
      </c>
      <c r="E55" s="340" t="inlineStr">
        <is>
          <t>—</t>
        </is>
      </c>
      <c r="F55" s="339" t="inlineStr">
        <is>
          <t>Treatment + retail performance bonuses</t>
        </is>
      </c>
      <c r="G55" s="343" t="n"/>
      <c r="H55" s="343" t="n"/>
      <c r="I55" s="343" t="n"/>
      <c r="J55" s="343" t="n"/>
      <c r="K55" s="343" t="n"/>
      <c r="L55" s="343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21.75" customHeight="1" s="363">
      <c r="A56" s="262" t="inlineStr">
        <is>
          <t>TOTAL DYNAMIC HC</t>
        </is>
      </c>
      <c r="B56" s="344" t="inlineStr">
        <is>
          <t>—</t>
        </is>
      </c>
      <c r="C56" s="55" t="n">
        <v>64037</v>
      </c>
      <c r="D56" s="9" t="inlineStr">
        <is>
          <t>100.0%</t>
        </is>
      </c>
      <c r="E56" s="56" t="n"/>
      <c r="F56" s="56" t="n"/>
      <c r="G56" s="56" t="n"/>
      <c r="H56" s="56" t="n"/>
      <c r="I56" s="56" t="n"/>
      <c r="J56" s="56" t="n"/>
      <c r="K56" s="56" t="n"/>
      <c r="L56" s="56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9.5" customHeight="1" s="363">
      <c r="A57" s="359" t="inlineStr">
        <is>
          <t>T:R Headcount Ratio</t>
        </is>
      </c>
      <c r="B57" s="358" t="inlineStr">
        <is>
          <t>N/A</t>
        </is>
      </c>
      <c r="C57" s="360" t="inlineStr">
        <is>
          <t>No reception staff at this location</t>
        </is>
      </c>
      <c r="D57" s="358" t="inlineStr">
        <is>
          <t>—</t>
        </is>
      </c>
      <c r="E57" s="358" t="inlineStr">
        <is>
          <t>3:1 – 7:1</t>
        </is>
      </c>
      <c r="F57" s="358" t="inlineStr">
        <is>
          <t>N/A — therapy-only model</t>
        </is>
      </c>
      <c r="G57" s="324" t="n"/>
      <c r="H57" s="324" t="n"/>
      <c r="I57" s="324" t="n"/>
      <c r="J57" s="324" t="n"/>
      <c r="K57" s="324" t="n"/>
      <c r="L57" s="324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9.5" customHeight="1" s="363">
      <c r="A58" s="359" t="inlineStr">
        <is>
          <t>T:R Spend Ratio (€)</t>
        </is>
      </c>
      <c r="B58" s="358" t="inlineStr">
        <is>
          <t>N/A</t>
        </is>
      </c>
      <c r="C58" s="360" t="inlineStr">
        <is>
          <t>No reception spend — RM covers front desk</t>
        </is>
      </c>
      <c r="D58" s="358" t="inlineStr">
        <is>
          <t>—</t>
        </is>
      </c>
      <c r="E58" s="358" t="inlineStr">
        <is>
          <t>3× – 8×</t>
        </is>
      </c>
      <c r="F58" s="358" t="inlineStr">
        <is>
          <t>N/A — therapy-only model</t>
        </is>
      </c>
      <c r="G58" s="324" t="n"/>
      <c r="H58" s="324" t="n"/>
      <c r="I58" s="324" t="n"/>
      <c r="J58" s="324" t="n"/>
      <c r="K58" s="324" t="n"/>
      <c r="L58" s="324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363">
      <c r="A59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363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363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363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3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363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8">
    <mergeCell ref="A1:J1"/>
    <mergeCell ref="A28:L28"/>
    <mergeCell ref="A44:L44"/>
    <mergeCell ref="A4:J4"/>
    <mergeCell ref="A20:J20"/>
    <mergeCell ref="A2:J2"/>
    <mergeCell ref="A50:L50"/>
    <mergeCell ref="A59:L59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363" min="1" max="1"/>
    <col width="18" customWidth="1" style="363" min="2" max="3"/>
    <col width="20" customWidth="1" style="363" min="4" max="4"/>
    <col width="13" customWidth="1" style="363" min="5" max="5"/>
    <col width="20" customWidth="1" style="363" min="6" max="6"/>
    <col width="16" customWidth="1" style="363" min="7" max="7"/>
    <col width="20" customWidth="1" style="363" min="8" max="8"/>
    <col width="18" customWidth="1" style="363" min="9" max="9"/>
    <col width="14" customWidth="1" style="363" min="10" max="10"/>
    <col width="10" customWidth="1" style="363" min="11" max="11"/>
    <col width="13" customWidth="1" style="363" min="12" max="12"/>
    <col width="8.710000000000001" customWidth="1" style="363" min="13" max="19"/>
  </cols>
  <sheetData>
    <row r="1" ht="27.75" customHeight="1" s="363">
      <c r="A1" s="431" t="inlineStr">
        <is>
          <t>SLIEMA (INA) — Monthly HC Budget Drilldown  |  40% Model Only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363">
      <c r="A2" s="432" t="inlineStr">
        <is>
          <t>Annual revenue (ex-VAT): €500,000  |  Monthly avg: €41,667  |  Receptionists: 1  |  PT monthly: €0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7.5" customHeight="1" s="36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1.75" customHeight="1" s="363">
      <c r="A4" s="433" t="inlineStr">
        <is>
          <t>40% HC BUDGET MODEL  —  RM covers receptionist off-days  |  Therapist allocation = budget remainder after fixed costs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0" customHeight="1" s="363">
      <c r="A5" s="287" t="inlineStr">
        <is>
          <t>Month</t>
        </is>
      </c>
      <c r="B5" s="287" t="inlineStr">
        <is>
          <t>Est. Revenue (€)</t>
        </is>
      </c>
      <c r="C5" s="287" t="inlineStr">
        <is>
          <t>40% HC Budget (€)</t>
        </is>
      </c>
      <c r="D5" s="287" t="inlineStr">
        <is>
          <t>Therapist Alloc (€)</t>
        </is>
      </c>
      <c r="E5" s="287" t="inlineStr">
        <is>
          <t># Therapists</t>
        </is>
      </c>
      <c r="F5" s="287" t="inlineStr">
        <is>
          <t>Receptionist Alloc (€)</t>
        </is>
      </c>
      <c r="G5" s="287" t="inlineStr">
        <is>
          <t># Receptionists</t>
        </is>
      </c>
      <c r="H5" s="287" t="inlineStr">
        <is>
          <t>Reg. Manager Alloc (€)</t>
        </is>
      </c>
      <c r="I5" s="287" t="inlineStr">
        <is>
          <t>PT Therapist Alloc (€)</t>
        </is>
      </c>
      <c r="J5" s="287" t="inlineStr">
        <is>
          <t>TOTAL (€)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363">
      <c r="A6" s="288" t="inlineStr">
        <is>
          <t>Jan</t>
        </is>
      </c>
      <c r="B6" s="54" t="n">
        <v>33333</v>
      </c>
      <c r="C6" s="54" t="n">
        <v>13333</v>
      </c>
      <c r="D6" s="54" t="n">
        <v>10669</v>
      </c>
      <c r="E6" s="29" t="n">
        <v>5</v>
      </c>
      <c r="F6" s="54" t="n">
        <v>1565</v>
      </c>
      <c r="G6" s="29" t="n">
        <v>1</v>
      </c>
      <c r="H6" s="54" t="n">
        <v>1099</v>
      </c>
      <c r="I6" s="54" t="n">
        <v>0</v>
      </c>
      <c r="J6" s="54" t="n">
        <v>13333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363">
      <c r="A7" s="135" t="inlineStr">
        <is>
          <t>Feb</t>
        </is>
      </c>
      <c r="B7" s="289" t="n">
        <v>35417</v>
      </c>
      <c r="C7" s="289" t="n">
        <v>14167</v>
      </c>
      <c r="D7" s="289" t="n">
        <v>11493</v>
      </c>
      <c r="E7" s="290" t="n">
        <v>5</v>
      </c>
      <c r="F7" s="289" t="n">
        <v>1565</v>
      </c>
      <c r="G7" s="290" t="n">
        <v>1</v>
      </c>
      <c r="H7" s="289" t="n">
        <v>1109</v>
      </c>
      <c r="I7" s="289" t="n">
        <v>0</v>
      </c>
      <c r="J7" s="289" t="n">
        <v>14167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363">
      <c r="A8" s="288" t="inlineStr">
        <is>
          <t>Mar</t>
        </is>
      </c>
      <c r="B8" s="54" t="n">
        <v>37500</v>
      </c>
      <c r="C8" s="54" t="n">
        <v>15000</v>
      </c>
      <c r="D8" s="54" t="n">
        <v>12315</v>
      </c>
      <c r="E8" s="29" t="n">
        <v>6</v>
      </c>
      <c r="F8" s="54" t="n">
        <v>1565</v>
      </c>
      <c r="G8" s="29" t="n">
        <v>1</v>
      </c>
      <c r="H8" s="54" t="n">
        <v>1120</v>
      </c>
      <c r="I8" s="54" t="n">
        <v>0</v>
      </c>
      <c r="J8" s="54" t="n">
        <v>15000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363">
      <c r="A9" s="135" t="inlineStr">
        <is>
          <t>Apr</t>
        </is>
      </c>
      <c r="B9" s="289" t="n">
        <v>39583</v>
      </c>
      <c r="C9" s="289" t="n">
        <v>15833</v>
      </c>
      <c r="D9" s="289" t="n">
        <v>13138</v>
      </c>
      <c r="E9" s="290" t="n">
        <v>6</v>
      </c>
      <c r="F9" s="289" t="n">
        <v>1565</v>
      </c>
      <c r="G9" s="290" t="n">
        <v>1</v>
      </c>
      <c r="H9" s="289" t="n">
        <v>1130</v>
      </c>
      <c r="I9" s="289" t="n">
        <v>0</v>
      </c>
      <c r="J9" s="289" t="n">
        <v>15833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363">
      <c r="A10" s="288" t="inlineStr">
        <is>
          <t>May</t>
        </is>
      </c>
      <c r="B10" s="54" t="n">
        <v>41667</v>
      </c>
      <c r="C10" s="54" t="n">
        <v>16667</v>
      </c>
      <c r="D10" s="54" t="n">
        <v>13962</v>
      </c>
      <c r="E10" s="29" t="n">
        <v>7</v>
      </c>
      <c r="F10" s="54" t="n">
        <v>1565</v>
      </c>
      <c r="G10" s="29" t="n">
        <v>1</v>
      </c>
      <c r="H10" s="54" t="n">
        <v>1140</v>
      </c>
      <c r="I10" s="54" t="n">
        <v>0</v>
      </c>
      <c r="J10" s="54" t="n">
        <v>16667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363">
      <c r="A11" s="135" t="inlineStr">
        <is>
          <t>Jun</t>
        </is>
      </c>
      <c r="B11" s="289" t="n">
        <v>45833</v>
      </c>
      <c r="C11" s="289" t="n">
        <v>18333</v>
      </c>
      <c r="D11" s="289" t="n">
        <v>15607</v>
      </c>
      <c r="E11" s="290" t="n">
        <v>7</v>
      </c>
      <c r="F11" s="289" t="n">
        <v>1565</v>
      </c>
      <c r="G11" s="290" t="n">
        <v>1</v>
      </c>
      <c r="H11" s="289" t="n">
        <v>1161</v>
      </c>
      <c r="I11" s="289" t="n">
        <v>0</v>
      </c>
      <c r="J11" s="289" t="n">
        <v>18333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363">
      <c r="A12" s="288" t="inlineStr">
        <is>
          <t>Jul</t>
        </is>
      </c>
      <c r="B12" s="54" t="n">
        <v>50000</v>
      </c>
      <c r="C12" s="54" t="n">
        <v>20000</v>
      </c>
      <c r="D12" s="54" t="n">
        <v>17253</v>
      </c>
      <c r="E12" s="29" t="n">
        <v>8</v>
      </c>
      <c r="F12" s="54" t="n">
        <v>1565</v>
      </c>
      <c r="G12" s="29" t="n">
        <v>1</v>
      </c>
      <c r="H12" s="54" t="n">
        <v>1182</v>
      </c>
      <c r="I12" s="54" t="n">
        <v>0</v>
      </c>
      <c r="J12" s="54" t="n">
        <v>20000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363">
      <c r="A13" s="135" t="inlineStr">
        <is>
          <t>Aug</t>
        </is>
      </c>
      <c r="B13" s="289" t="n">
        <v>52083</v>
      </c>
      <c r="C13" s="289" t="n">
        <v>20833</v>
      </c>
      <c r="D13" s="289" t="n">
        <v>18076</v>
      </c>
      <c r="E13" s="290" t="n">
        <v>9</v>
      </c>
      <c r="F13" s="289" t="n">
        <v>1565</v>
      </c>
      <c r="G13" s="290" t="n">
        <v>1</v>
      </c>
      <c r="H13" s="289" t="n">
        <v>1192</v>
      </c>
      <c r="I13" s="289" t="n">
        <v>0</v>
      </c>
      <c r="J13" s="289" t="n">
        <v>20833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363">
      <c r="A14" s="288" t="inlineStr">
        <is>
          <t>Sep</t>
        </is>
      </c>
      <c r="B14" s="54" t="n">
        <v>45833</v>
      </c>
      <c r="C14" s="54" t="n">
        <v>18333</v>
      </c>
      <c r="D14" s="54" t="n">
        <v>15607</v>
      </c>
      <c r="E14" s="29" t="n">
        <v>7</v>
      </c>
      <c r="F14" s="54" t="n">
        <v>1565</v>
      </c>
      <c r="G14" s="29" t="n">
        <v>1</v>
      </c>
      <c r="H14" s="54" t="n">
        <v>1161</v>
      </c>
      <c r="I14" s="54" t="n">
        <v>0</v>
      </c>
      <c r="J14" s="54" t="n">
        <v>18333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363">
      <c r="A15" s="135" t="inlineStr">
        <is>
          <t>Oct</t>
        </is>
      </c>
      <c r="B15" s="289" t="n">
        <v>41667</v>
      </c>
      <c r="C15" s="289" t="n">
        <v>16667</v>
      </c>
      <c r="D15" s="289" t="n">
        <v>13962</v>
      </c>
      <c r="E15" s="290" t="n">
        <v>7</v>
      </c>
      <c r="F15" s="289" t="n">
        <v>1565</v>
      </c>
      <c r="G15" s="290" t="n">
        <v>1</v>
      </c>
      <c r="H15" s="289" t="n">
        <v>1140</v>
      </c>
      <c r="I15" s="289" t="n">
        <v>0</v>
      </c>
      <c r="J15" s="289" t="n">
        <v>16667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363">
      <c r="A16" s="288" t="inlineStr">
        <is>
          <t>Nov</t>
        </is>
      </c>
      <c r="B16" s="54" t="n">
        <v>37500</v>
      </c>
      <c r="C16" s="54" t="n">
        <v>15000</v>
      </c>
      <c r="D16" s="54" t="n">
        <v>12315</v>
      </c>
      <c r="E16" s="29" t="n">
        <v>6</v>
      </c>
      <c r="F16" s="54" t="n">
        <v>1565</v>
      </c>
      <c r="G16" s="29" t="n">
        <v>1</v>
      </c>
      <c r="H16" s="54" t="n">
        <v>1120</v>
      </c>
      <c r="I16" s="54" t="n">
        <v>0</v>
      </c>
      <c r="J16" s="54" t="n">
        <v>15000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363">
      <c r="A17" s="135" t="inlineStr">
        <is>
          <t>Dec</t>
        </is>
      </c>
      <c r="B17" s="289" t="n">
        <v>39583</v>
      </c>
      <c r="C17" s="289" t="n">
        <v>15833</v>
      </c>
      <c r="D17" s="289" t="n">
        <v>13138</v>
      </c>
      <c r="E17" s="290" t="n">
        <v>6</v>
      </c>
      <c r="F17" s="289" t="n">
        <v>1565</v>
      </c>
      <c r="G17" s="290" t="n">
        <v>1</v>
      </c>
      <c r="H17" s="289" t="n">
        <v>1130</v>
      </c>
      <c r="I17" s="289" t="n">
        <v>0</v>
      </c>
      <c r="J17" s="289" t="n">
        <v>15833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1.75" customHeight="1" s="363">
      <c r="A18" s="291" t="inlineStr">
        <is>
          <t>ANNUAL TOTAL</t>
        </is>
      </c>
      <c r="B18" s="292" t="n">
        <v>499999</v>
      </c>
      <c r="C18" s="292" t="n">
        <v>199999</v>
      </c>
      <c r="D18" s="292" t="n">
        <v>167535</v>
      </c>
      <c r="E18" s="293" t="n"/>
      <c r="F18" s="292" t="n">
        <v>18780</v>
      </c>
      <c r="G18" s="293" t="n">
        <v>1</v>
      </c>
      <c r="H18" s="292" t="n">
        <v>13684</v>
      </c>
      <c r="I18" s="292" t="n">
        <v>0</v>
      </c>
      <c r="J18" s="292" t="n">
        <v>199999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7.5" customHeight="1" s="36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 s="363">
      <c r="A20" s="434" t="inlineStr">
        <is>
          <t>WEEKLY ROSTER — 40% MODEL  |  RM covers receptionist off-days  ★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 s="363">
      <c r="A21" s="295" t="inlineStr">
        <is>
          <t>NAME</t>
        </is>
      </c>
      <c r="B21" s="295" t="inlineStr">
        <is>
          <t>ROLE</t>
        </is>
      </c>
      <c r="C21" s="295" t="inlineStr">
        <is>
          <t>MON</t>
        </is>
      </c>
      <c r="D21" s="295" t="inlineStr">
        <is>
          <t>TUE</t>
        </is>
      </c>
      <c r="E21" s="295" t="inlineStr">
        <is>
          <t>WED</t>
        </is>
      </c>
      <c r="F21" s="295" t="inlineStr">
        <is>
          <t>THU</t>
        </is>
      </c>
      <c r="G21" s="296" t="inlineStr">
        <is>
          <t>FRI ★</t>
        </is>
      </c>
      <c r="H21" s="296" t="inlineStr">
        <is>
          <t>SAT ★</t>
        </is>
      </c>
      <c r="I21" s="296" t="inlineStr">
        <is>
          <t>SUN ★</t>
        </is>
      </c>
      <c r="J21" s="295" t="inlineStr">
        <is>
          <t>DAYS ON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 s="363">
      <c r="A22" s="297" t="inlineStr">
        <is>
          <t>T1 — Amara</t>
        </is>
      </c>
      <c r="B22" s="298" t="inlineStr">
        <is>
          <t>Therapist</t>
        </is>
      </c>
      <c r="C22" s="127" t="inlineStr">
        <is>
          <t>A</t>
        </is>
      </c>
      <c r="D22" s="126" t="inlineStr">
        <is>
          <t>OFF</t>
        </is>
      </c>
      <c r="E22" s="126" t="inlineStr">
        <is>
          <t>OFF</t>
        </is>
      </c>
      <c r="F22" s="137" t="inlineStr">
        <is>
          <t>B</t>
        </is>
      </c>
      <c r="G22" s="127" t="inlineStr">
        <is>
          <t>A</t>
        </is>
      </c>
      <c r="H22" s="127" t="inlineStr">
        <is>
          <t>A</t>
        </is>
      </c>
      <c r="I22" s="137" t="inlineStr">
        <is>
          <t>B</t>
        </is>
      </c>
      <c r="J22" s="299" t="n">
        <v>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9.5" customHeight="1" s="363">
      <c r="A23" s="162" t="inlineStr">
        <is>
          <t>T2 — Rania</t>
        </is>
      </c>
      <c r="B23" s="300" t="inlineStr">
        <is>
          <t>Therapist</t>
        </is>
      </c>
      <c r="C23" s="126" t="inlineStr">
        <is>
          <t>OFF</t>
        </is>
      </c>
      <c r="D23" s="127" t="inlineStr">
        <is>
          <t>A</t>
        </is>
      </c>
      <c r="E23" s="127" t="inlineStr">
        <is>
          <t>A</t>
        </is>
      </c>
      <c r="F23" s="126" t="inlineStr">
        <is>
          <t>OFF</t>
        </is>
      </c>
      <c r="G23" s="137" t="inlineStr">
        <is>
          <t>B</t>
        </is>
      </c>
      <c r="H23" s="137" t="inlineStr">
        <is>
          <t>B</t>
        </is>
      </c>
      <c r="I23" s="127" t="inlineStr">
        <is>
          <t>A</t>
        </is>
      </c>
      <c r="J23" s="299" t="n">
        <v>5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 s="363">
      <c r="A24" s="297" t="inlineStr">
        <is>
          <t>R1 — Chloe</t>
        </is>
      </c>
      <c r="B24" s="298" t="inlineStr">
        <is>
          <t>Receptionist</t>
        </is>
      </c>
      <c r="C24" s="127" t="inlineStr">
        <is>
          <t>A</t>
        </is>
      </c>
      <c r="D24" s="127" t="inlineStr">
        <is>
          <t>A</t>
        </is>
      </c>
      <c r="E24" s="126" t="inlineStr">
        <is>
          <t>OFF</t>
        </is>
      </c>
      <c r="F24" s="126" t="inlineStr">
        <is>
          <t>OFF</t>
        </is>
      </c>
      <c r="G24" s="127" t="inlineStr">
        <is>
          <t>A</t>
        </is>
      </c>
      <c r="H24" s="127" t="inlineStr">
        <is>
          <t>A</t>
        </is>
      </c>
      <c r="I24" s="137" t="inlineStr">
        <is>
          <t>B</t>
        </is>
      </c>
      <c r="J24" s="299" t="n">
        <v>5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 s="363">
      <c r="A25" s="301" t="n"/>
      <c r="B25" s="301" t="n"/>
      <c r="C25" s="301" t="n"/>
      <c r="D25" s="301" t="n"/>
      <c r="E25" s="301" t="n"/>
      <c r="F25" s="301" t="n"/>
      <c r="G25" s="301" t="n"/>
      <c r="H25" s="301" t="n"/>
      <c r="I25" s="301" t="n"/>
      <c r="J25" s="301" t="n"/>
      <c r="K25" s="301" t="n"/>
      <c r="L25" s="301" t="n"/>
      <c r="M25" s="301" t="n"/>
      <c r="N25" s="301" t="n"/>
      <c r="O25" s="301" t="n"/>
      <c r="P25" s="301" t="n"/>
      <c r="Q25" s="301" t="n"/>
      <c r="R25" s="301" t="n"/>
      <c r="S25" s="301" t="n"/>
      <c r="T25" s="7" t="n"/>
      <c r="U25" s="7" t="n"/>
      <c r="V25" s="7" t="n"/>
      <c r="W25" s="7" t="n"/>
      <c r="X25" s="7" t="n"/>
      <c r="Y25" s="7" t="n"/>
      <c r="Z25" s="7" t="n"/>
    </row>
    <row r="26" ht="13.5" customHeight="1" s="363">
      <c r="A26" s="301" t="n"/>
      <c r="B26" s="301" t="n"/>
      <c r="C26" s="301" t="n"/>
      <c r="D26" s="301" t="n"/>
      <c r="E26" s="301" t="n"/>
      <c r="F26" s="301" t="n"/>
      <c r="G26" s="301" t="n"/>
      <c r="H26" s="301" t="n"/>
      <c r="I26" s="301" t="n"/>
      <c r="J26" s="301" t="n"/>
      <c r="K26" s="301" t="n"/>
      <c r="L26" s="301" t="n"/>
      <c r="M26" s="301" t="n"/>
      <c r="N26" s="301" t="n"/>
      <c r="O26" s="301" t="n"/>
      <c r="P26" s="301" t="n"/>
      <c r="Q26" s="301" t="n"/>
      <c r="R26" s="301" t="n"/>
      <c r="S26" s="301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363">
      <c r="A27" s="301" t="n"/>
      <c r="B27" s="301" t="n"/>
      <c r="C27" s="301" t="n"/>
      <c r="D27" s="301" t="n"/>
      <c r="E27" s="301" t="n"/>
      <c r="F27" s="301" t="n"/>
      <c r="G27" s="301" t="n"/>
      <c r="H27" s="301" t="n"/>
      <c r="I27" s="301" t="n"/>
      <c r="J27" s="301" t="n"/>
      <c r="K27" s="301" t="n"/>
      <c r="L27" s="301" t="n"/>
      <c r="M27" s="301" t="n"/>
      <c r="N27" s="301" t="n"/>
      <c r="O27" s="301" t="n"/>
      <c r="P27" s="301" t="n"/>
      <c r="Q27" s="301" t="n"/>
      <c r="R27" s="301" t="n"/>
      <c r="S27" s="301" t="n"/>
      <c r="T27" s="7" t="n"/>
      <c r="U27" s="7" t="n"/>
      <c r="V27" s="7" t="n"/>
      <c r="W27" s="7" t="n"/>
      <c r="X27" s="7" t="n"/>
      <c r="Y27" s="7" t="n"/>
      <c r="Z27" s="7" t="n"/>
    </row>
    <row r="28" ht="21.75" customHeight="1" s="363">
      <c r="A28" s="435" t="inlineStr">
        <is>
          <t>DYNAMIC STAFFING MODEL  —  Demand-Adjusted Headcount  |  Core = Permanent (year-round)  |  Seasonal = Fixed-term (Apr–Oct)  |  Buffer: 20% above demand floor</t>
        </is>
      </c>
      <c r="B28" s="398" t="n"/>
      <c r="C28" s="398" t="n"/>
      <c r="D28" s="398" t="n"/>
      <c r="E28" s="398" t="n"/>
      <c r="F28" s="398" t="n"/>
      <c r="G28" s="398" t="n"/>
      <c r="H28" s="398" t="n"/>
      <c r="I28" s="398" t="n"/>
      <c r="J28" s="398" t="n"/>
      <c r="K28" s="398" t="n"/>
      <c r="L28" s="399" t="n"/>
      <c r="M28" s="301" t="n"/>
      <c r="N28" s="301" t="n"/>
      <c r="O28" s="301" t="n"/>
      <c r="P28" s="301" t="n"/>
      <c r="Q28" s="301" t="n"/>
      <c r="R28" s="301" t="n"/>
      <c r="S28" s="301" t="n"/>
      <c r="T28" s="7" t="n"/>
      <c r="U28" s="7" t="n"/>
      <c r="V28" s="7" t="n"/>
      <c r="W28" s="7" t="n"/>
      <c r="X28" s="7" t="n"/>
      <c r="Y28" s="7" t="n"/>
      <c r="Z28" s="7" t="n"/>
    </row>
    <row r="29" ht="30" customHeight="1" s="363">
      <c r="A29" s="17" t="inlineStr">
        <is>
          <t>Month</t>
        </is>
      </c>
      <c r="B29" s="17" t="inlineStr">
        <is>
          <t>Revenue (€)</t>
        </is>
      </c>
      <c r="C29" s="17" t="inlineStr">
        <is>
          <t>35% Budget (€)</t>
        </is>
      </c>
      <c r="D29" s="17" t="inlineStr">
        <is>
          <t>Optimal T</t>
        </is>
      </c>
      <c r="E29" s="17" t="inlineStr">
        <is>
          <t>Core T</t>
        </is>
      </c>
      <c r="F29" s="17" t="inlineStr">
        <is>
          <t>Seasonal T</t>
        </is>
      </c>
      <c r="G29" s="17" t="inlineStr">
        <is>
          <t>Avg Tx /
Day / T</t>
        </is>
      </c>
      <c r="H29" s="17" t="inlineStr">
        <is>
          <t>Dynamic HC (€)</t>
        </is>
      </c>
      <c r="I29" s="17" t="inlineStr">
        <is>
          <t>Saving vs
Fixed (€)</t>
        </is>
      </c>
      <c r="J29" s="17" t="inlineStr">
        <is>
          <t>Status</t>
        </is>
      </c>
      <c r="K29" s="17" t="inlineStr">
        <is>
          <t># Core</t>
        </is>
      </c>
      <c r="L29" s="17" t="inlineStr">
        <is>
          <t># Seas</t>
        </is>
      </c>
      <c r="M29" s="301" t="n"/>
      <c r="N29" s="301" t="n"/>
      <c r="O29" s="301" t="n"/>
      <c r="P29" s="301" t="n"/>
      <c r="Q29" s="301" t="n"/>
      <c r="R29" s="301" t="n"/>
      <c r="S29" s="301" t="n"/>
      <c r="T29" s="7" t="n"/>
      <c r="U29" s="7" t="n"/>
      <c r="V29" s="7" t="n"/>
      <c r="W29" s="7" t="n"/>
      <c r="X29" s="7" t="n"/>
      <c r="Y29" s="7" t="n"/>
      <c r="Z29" s="7" t="n"/>
    </row>
    <row r="30" ht="18" customHeight="1" s="363">
      <c r="A30" s="111" t="inlineStr">
        <is>
          <t>Jan</t>
        </is>
      </c>
      <c r="B30" s="361" t="n">
        <v>33333</v>
      </c>
      <c r="C30" s="361" t="n">
        <v>11667</v>
      </c>
      <c r="D30" s="354" t="n">
        <v>5</v>
      </c>
      <c r="E30" s="304" t="n">
        <v>5</v>
      </c>
      <c r="F30" s="305" t="n">
        <v>0</v>
      </c>
      <c r="G30" s="362" t="n">
        <v>3.4</v>
      </c>
      <c r="H30" s="361" t="n">
        <v>12731</v>
      </c>
      <c r="I30" s="354" t="n">
        <v>-5031</v>
      </c>
      <c r="J30" s="99" t="inlineStr">
        <is>
          <t>⚠ UNDERSTAFFED</t>
        </is>
      </c>
      <c r="K30" s="305" t="n">
        <v>5</v>
      </c>
      <c r="L30" s="305" t="n">
        <v>0</v>
      </c>
      <c r="M30" s="301" t="n"/>
      <c r="N30" s="301" t="n"/>
      <c r="O30" s="301" t="n"/>
      <c r="P30" s="301" t="n"/>
      <c r="Q30" s="301" t="n"/>
      <c r="R30" s="301" t="n"/>
      <c r="S30" s="301" t="n"/>
      <c r="T30" s="7" t="n"/>
      <c r="U30" s="7" t="n"/>
      <c r="V30" s="7" t="n"/>
      <c r="W30" s="7" t="n"/>
      <c r="X30" s="7" t="n"/>
      <c r="Y30" s="7" t="n"/>
      <c r="Z30" s="7" t="n"/>
    </row>
    <row r="31" ht="18" customHeight="1" s="363">
      <c r="A31" s="111" t="inlineStr">
        <is>
          <t>Feb</t>
        </is>
      </c>
      <c r="B31" s="361" t="n">
        <v>35417</v>
      </c>
      <c r="C31" s="361" t="n">
        <v>12396</v>
      </c>
      <c r="D31" s="354" t="n">
        <v>5</v>
      </c>
      <c r="E31" s="304" t="n">
        <v>5</v>
      </c>
      <c r="F31" s="305" t="n">
        <v>0</v>
      </c>
      <c r="G31" s="362" t="n">
        <v>3.6</v>
      </c>
      <c r="H31" s="361" t="n">
        <v>12847</v>
      </c>
      <c r="I31" s="354" t="n">
        <v>-5031</v>
      </c>
      <c r="J31" s="99" t="inlineStr">
        <is>
          <t>⚠ UNDERSTAFFED</t>
        </is>
      </c>
      <c r="K31" s="305" t="n">
        <v>5</v>
      </c>
      <c r="L31" s="305" t="n">
        <v>0</v>
      </c>
      <c r="M31" s="301" t="n"/>
      <c r="N31" s="301" t="n"/>
      <c r="O31" s="301" t="n"/>
      <c r="P31" s="301" t="n"/>
      <c r="Q31" s="301" t="n"/>
      <c r="R31" s="301" t="n"/>
      <c r="S31" s="301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363">
      <c r="A32" s="111" t="inlineStr">
        <is>
          <t>Mar</t>
        </is>
      </c>
      <c r="B32" s="361" t="n">
        <v>37500</v>
      </c>
      <c r="C32" s="361" t="n">
        <v>13125</v>
      </c>
      <c r="D32" s="354" t="n">
        <v>5</v>
      </c>
      <c r="E32" s="304" t="n">
        <v>5</v>
      </c>
      <c r="F32" s="305" t="n">
        <v>0</v>
      </c>
      <c r="G32" s="362" t="n">
        <v>3.8</v>
      </c>
      <c r="H32" s="361" t="n">
        <v>12964</v>
      </c>
      <c r="I32" s="354" t="n">
        <v>-5031</v>
      </c>
      <c r="J32" s="99" t="inlineStr">
        <is>
          <t>⚠ UNDERSTAFFED</t>
        </is>
      </c>
      <c r="K32" s="305" t="n">
        <v>5</v>
      </c>
      <c r="L32" s="305" t="n">
        <v>0</v>
      </c>
      <c r="M32" s="301" t="n"/>
      <c r="N32" s="301" t="n"/>
      <c r="O32" s="301" t="n"/>
      <c r="P32" s="301" t="n"/>
      <c r="Q32" s="301" t="n"/>
      <c r="R32" s="301" t="n"/>
      <c r="S32" s="301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363">
      <c r="A33" s="111" t="inlineStr">
        <is>
          <t>Apr</t>
        </is>
      </c>
      <c r="B33" s="361" t="n">
        <v>39583</v>
      </c>
      <c r="C33" s="361" t="n">
        <v>13854</v>
      </c>
      <c r="D33" s="354" t="n">
        <v>5</v>
      </c>
      <c r="E33" s="304" t="n">
        <v>5</v>
      </c>
      <c r="F33" s="305" t="n">
        <v>0</v>
      </c>
      <c r="G33" s="306" t="n">
        <v>4.1</v>
      </c>
      <c r="H33" s="361" t="n">
        <v>13080</v>
      </c>
      <c r="I33" s="354" t="n">
        <v>-5031</v>
      </c>
      <c r="J33" s="99" t="inlineStr">
        <is>
          <t>⚠ UNDERSTAFFED</t>
        </is>
      </c>
      <c r="K33" s="305" t="n">
        <v>5</v>
      </c>
      <c r="L33" s="305" t="n">
        <v>0</v>
      </c>
      <c r="M33" s="301" t="n"/>
      <c r="N33" s="301" t="n"/>
      <c r="O33" s="301" t="n"/>
      <c r="P33" s="301" t="n"/>
      <c r="Q33" s="301" t="n"/>
      <c r="R33" s="301" t="n"/>
      <c r="S33" s="301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363">
      <c r="A34" s="111" t="inlineStr">
        <is>
          <t>May</t>
        </is>
      </c>
      <c r="B34" s="361" t="n">
        <v>41667</v>
      </c>
      <c r="C34" s="361" t="n">
        <v>14583</v>
      </c>
      <c r="D34" s="354" t="n">
        <v>6</v>
      </c>
      <c r="E34" s="304" t="n">
        <v>5</v>
      </c>
      <c r="F34" s="308" t="n">
        <v>1</v>
      </c>
      <c r="G34" s="362" t="n">
        <v>3.6</v>
      </c>
      <c r="H34" s="361" t="n">
        <v>14873</v>
      </c>
      <c r="I34" s="354" t="n">
        <v>-6708</v>
      </c>
      <c r="J34" s="99" t="inlineStr">
        <is>
          <t>⚠ UNDERSTAFFED</t>
        </is>
      </c>
      <c r="K34" s="305" t="n">
        <v>5</v>
      </c>
      <c r="L34" s="107" t="n">
        <v>1</v>
      </c>
      <c r="M34" s="301" t="n"/>
      <c r="N34" s="301" t="n"/>
      <c r="O34" s="301" t="n"/>
      <c r="P34" s="301" t="n"/>
      <c r="Q34" s="301" t="n"/>
      <c r="R34" s="301" t="n"/>
      <c r="S34" s="301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363">
      <c r="A35" s="111" t="inlineStr">
        <is>
          <t>Jun</t>
        </is>
      </c>
      <c r="B35" s="361" t="n">
        <v>45833</v>
      </c>
      <c r="C35" s="361" t="n">
        <v>16042</v>
      </c>
      <c r="D35" s="354" t="n">
        <v>6</v>
      </c>
      <c r="E35" s="304" t="n">
        <v>5</v>
      </c>
      <c r="F35" s="308" t="n">
        <v>1</v>
      </c>
      <c r="G35" s="362" t="n">
        <v>3.9</v>
      </c>
      <c r="H35" s="361" t="n">
        <v>15105</v>
      </c>
      <c r="I35" s="354" t="n">
        <v>-6708</v>
      </c>
      <c r="J35" s="99" t="inlineStr">
        <is>
          <t>⚠ UNDERSTAFFED</t>
        </is>
      </c>
      <c r="K35" s="305" t="n">
        <v>5</v>
      </c>
      <c r="L35" s="107" t="n">
        <v>1</v>
      </c>
      <c r="M35" s="301" t="n"/>
      <c r="N35" s="301" t="n"/>
      <c r="O35" s="301" t="n"/>
      <c r="P35" s="301" t="n"/>
      <c r="Q35" s="301" t="n"/>
      <c r="R35" s="301" t="n"/>
      <c r="S35" s="301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363">
      <c r="A36" s="111" t="inlineStr">
        <is>
          <t>Jul</t>
        </is>
      </c>
      <c r="B36" s="361" t="n">
        <v>50000</v>
      </c>
      <c r="C36" s="361" t="n">
        <v>17500</v>
      </c>
      <c r="D36" s="354" t="n">
        <v>7</v>
      </c>
      <c r="E36" s="304" t="n">
        <v>5</v>
      </c>
      <c r="F36" s="308" t="n">
        <v>2</v>
      </c>
      <c r="G36" s="362" t="n">
        <v>3.7</v>
      </c>
      <c r="H36" s="361" t="n">
        <v>17014</v>
      </c>
      <c r="I36" s="354" t="n">
        <v>-8385</v>
      </c>
      <c r="J36" s="99" t="inlineStr">
        <is>
          <t>⚠ UNDERSTAFFED</t>
        </is>
      </c>
      <c r="K36" s="305" t="n">
        <v>5</v>
      </c>
      <c r="L36" s="107" t="n">
        <v>2</v>
      </c>
      <c r="M36" s="301" t="n"/>
      <c r="N36" s="301" t="n"/>
      <c r="O36" s="301" t="n"/>
      <c r="P36" s="301" t="n"/>
      <c r="Q36" s="301" t="n"/>
      <c r="R36" s="301" t="n"/>
      <c r="S36" s="301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363">
      <c r="A37" s="111" t="inlineStr">
        <is>
          <t>Aug</t>
        </is>
      </c>
      <c r="B37" s="361" t="n">
        <v>52083</v>
      </c>
      <c r="C37" s="361" t="n">
        <v>18229</v>
      </c>
      <c r="D37" s="354" t="n">
        <v>7</v>
      </c>
      <c r="E37" s="304" t="n">
        <v>5</v>
      </c>
      <c r="F37" s="308" t="n">
        <v>2</v>
      </c>
      <c r="G37" s="362" t="n">
        <v>3.8</v>
      </c>
      <c r="H37" s="361" t="n">
        <v>17131</v>
      </c>
      <c r="I37" s="354" t="n">
        <v>-8385</v>
      </c>
      <c r="J37" s="99" t="inlineStr">
        <is>
          <t>⚠ UNDERSTAFFED</t>
        </is>
      </c>
      <c r="K37" s="305" t="n">
        <v>5</v>
      </c>
      <c r="L37" s="107" t="n">
        <v>2</v>
      </c>
      <c r="M37" s="301" t="n"/>
      <c r="N37" s="301" t="n"/>
      <c r="O37" s="301" t="n"/>
      <c r="P37" s="301" t="n"/>
      <c r="Q37" s="301" t="n"/>
      <c r="R37" s="301" t="n"/>
      <c r="S37" s="301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363">
      <c r="A38" s="111" t="inlineStr">
        <is>
          <t>Sep</t>
        </is>
      </c>
      <c r="B38" s="361" t="n">
        <v>45833</v>
      </c>
      <c r="C38" s="361" t="n">
        <v>16042</v>
      </c>
      <c r="D38" s="354" t="n">
        <v>6</v>
      </c>
      <c r="E38" s="304" t="n">
        <v>5</v>
      </c>
      <c r="F38" s="308" t="n">
        <v>1</v>
      </c>
      <c r="G38" s="362" t="n">
        <v>3.9</v>
      </c>
      <c r="H38" s="361" t="n">
        <v>15105</v>
      </c>
      <c r="I38" s="354" t="n">
        <v>-6708</v>
      </c>
      <c r="J38" s="99" t="inlineStr">
        <is>
          <t>⚠ UNDERSTAFFED</t>
        </is>
      </c>
      <c r="K38" s="305" t="n">
        <v>5</v>
      </c>
      <c r="L38" s="107" t="n">
        <v>1</v>
      </c>
      <c r="M38" s="301" t="n"/>
      <c r="N38" s="301" t="n"/>
      <c r="O38" s="301" t="n"/>
      <c r="P38" s="301" t="n"/>
      <c r="Q38" s="301" t="n"/>
      <c r="R38" s="301" t="n"/>
      <c r="S38" s="301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363">
      <c r="A39" s="111" t="inlineStr">
        <is>
          <t>Oct</t>
        </is>
      </c>
      <c r="B39" s="361" t="n">
        <v>41667</v>
      </c>
      <c r="C39" s="361" t="n">
        <v>14583</v>
      </c>
      <c r="D39" s="354" t="n">
        <v>6</v>
      </c>
      <c r="E39" s="304" t="n">
        <v>5</v>
      </c>
      <c r="F39" s="308" t="n">
        <v>1</v>
      </c>
      <c r="G39" s="362" t="n">
        <v>3.6</v>
      </c>
      <c r="H39" s="361" t="n">
        <v>14873</v>
      </c>
      <c r="I39" s="354" t="n">
        <v>-6708</v>
      </c>
      <c r="J39" s="99" t="inlineStr">
        <is>
          <t>⚠ UNDERSTAFFED</t>
        </is>
      </c>
      <c r="K39" s="305" t="n">
        <v>5</v>
      </c>
      <c r="L39" s="107" t="n">
        <v>1</v>
      </c>
      <c r="M39" s="301" t="n"/>
      <c r="N39" s="301" t="n"/>
      <c r="O39" s="301" t="n"/>
      <c r="P39" s="301" t="n"/>
      <c r="Q39" s="301" t="n"/>
      <c r="R39" s="301" t="n"/>
      <c r="S39" s="301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363">
      <c r="A40" s="111" t="inlineStr">
        <is>
          <t>Nov</t>
        </is>
      </c>
      <c r="B40" s="361" t="n">
        <v>37500</v>
      </c>
      <c r="C40" s="361" t="n">
        <v>13125</v>
      </c>
      <c r="D40" s="354" t="n">
        <v>5</v>
      </c>
      <c r="E40" s="304" t="n">
        <v>5</v>
      </c>
      <c r="F40" s="305" t="n">
        <v>0</v>
      </c>
      <c r="G40" s="362" t="n">
        <v>3.8</v>
      </c>
      <c r="H40" s="361" t="n">
        <v>12964</v>
      </c>
      <c r="I40" s="354" t="n">
        <v>-5031</v>
      </c>
      <c r="J40" s="99" t="inlineStr">
        <is>
          <t>⚠ UNDERSTAFFED</t>
        </is>
      </c>
      <c r="K40" s="305" t="n">
        <v>5</v>
      </c>
      <c r="L40" s="305" t="n">
        <v>0</v>
      </c>
      <c r="M40" s="301" t="n"/>
      <c r="N40" s="301" t="n"/>
      <c r="O40" s="301" t="n"/>
      <c r="P40" s="301" t="n"/>
      <c r="Q40" s="301" t="n"/>
      <c r="R40" s="301" t="n"/>
      <c r="S40" s="301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363">
      <c r="A41" s="111" t="inlineStr">
        <is>
          <t>Dec</t>
        </is>
      </c>
      <c r="B41" s="361" t="n">
        <v>39583</v>
      </c>
      <c r="C41" s="361" t="n">
        <v>13854</v>
      </c>
      <c r="D41" s="354" t="n">
        <v>5</v>
      </c>
      <c r="E41" s="304" t="n">
        <v>5</v>
      </c>
      <c r="F41" s="305" t="n">
        <v>0</v>
      </c>
      <c r="G41" s="306" t="n">
        <v>4.1</v>
      </c>
      <c r="H41" s="361" t="n">
        <v>13080</v>
      </c>
      <c r="I41" s="354" t="n">
        <v>-5031</v>
      </c>
      <c r="J41" s="99" t="inlineStr">
        <is>
          <t>⚠ UNDERSTAFFED</t>
        </is>
      </c>
      <c r="K41" s="305" t="n">
        <v>5</v>
      </c>
      <c r="L41" s="305" t="n">
        <v>0</v>
      </c>
      <c r="M41" s="301" t="n"/>
      <c r="N41" s="301" t="n"/>
      <c r="O41" s="301" t="n"/>
      <c r="P41" s="301" t="n"/>
      <c r="Q41" s="301" t="n"/>
      <c r="R41" s="301" t="n"/>
      <c r="S41" s="301" t="n"/>
      <c r="T41" s="7" t="n"/>
      <c r="U41" s="7" t="n"/>
      <c r="V41" s="7" t="n"/>
      <c r="W41" s="7" t="n"/>
      <c r="X41" s="7" t="n"/>
      <c r="Y41" s="7" t="n"/>
      <c r="Z41" s="7" t="n"/>
    </row>
    <row r="42" ht="21.75" customHeight="1" s="363">
      <c r="A42" s="9" t="inlineStr">
        <is>
          <t>ANNUAL TOTAL</t>
        </is>
      </c>
      <c r="B42" s="55" t="n">
        <v>499999</v>
      </c>
      <c r="C42" s="55" t="n">
        <v>175000</v>
      </c>
      <c r="D42" s="314" t="n"/>
      <c r="E42" s="314" t="n"/>
      <c r="F42" s="314" t="n"/>
      <c r="G42" s="314" t="n"/>
      <c r="H42" s="55" t="n">
        <v>171767</v>
      </c>
      <c r="I42" s="354" t="n">
        <v>-73788</v>
      </c>
      <c r="J42" s="314" t="n"/>
      <c r="K42" s="314" t="n"/>
      <c r="L42" s="314" t="n"/>
      <c r="M42" s="301" t="n"/>
      <c r="N42" s="301" t="n"/>
      <c r="O42" s="301" t="n"/>
      <c r="P42" s="301" t="n"/>
      <c r="Q42" s="301" t="n"/>
      <c r="R42" s="301" t="n"/>
      <c r="S42" s="301" t="n"/>
      <c r="T42" s="7" t="n"/>
      <c r="U42" s="7" t="n"/>
      <c r="V42" s="7" t="n"/>
      <c r="W42" s="7" t="n"/>
      <c r="X42" s="7" t="n"/>
      <c r="Y42" s="7" t="n"/>
      <c r="Z42" s="7" t="n"/>
    </row>
    <row r="43" ht="21.75" customHeight="1" s="363">
      <c r="A43" s="301" t="n"/>
      <c r="B43" s="301" t="n"/>
      <c r="C43" s="301" t="n"/>
      <c r="D43" s="301" t="n"/>
      <c r="E43" s="301" t="n"/>
      <c r="F43" s="301" t="n"/>
      <c r="G43" s="301" t="n"/>
      <c r="H43" s="301" t="n"/>
      <c r="I43" s="301" t="n"/>
      <c r="J43" s="301" t="n"/>
      <c r="K43" s="301" t="n"/>
      <c r="L43" s="301" t="n"/>
      <c r="M43" s="301" t="n"/>
      <c r="N43" s="301" t="n"/>
      <c r="O43" s="301" t="n"/>
      <c r="P43" s="301" t="n"/>
      <c r="Q43" s="301" t="n"/>
      <c r="R43" s="301" t="n"/>
      <c r="S43" s="301" t="n"/>
      <c r="T43" s="7" t="n"/>
      <c r="U43" s="7" t="n"/>
      <c r="V43" s="7" t="n"/>
      <c r="W43" s="7" t="n"/>
      <c r="X43" s="7" t="n"/>
      <c r="Y43" s="7" t="n"/>
      <c r="Z43" s="7" t="n"/>
    </row>
    <row r="44" ht="30" customHeight="1" s="363">
      <c r="A44" s="351" t="inlineStr">
        <is>
          <t>⚠  ACTION REQUIRED: URGENT — Hire 3 permanent therapists immediately. Current 2T cannot service projected €500k/yr revenue. Estimated lost revenue from capacity shortfall: €50,000–€70,000/yr.</t>
        </is>
      </c>
      <c r="B44" s="398" t="n"/>
      <c r="C44" s="398" t="n"/>
      <c r="D44" s="398" t="n"/>
      <c r="E44" s="398" t="n"/>
      <c r="F44" s="398" t="n"/>
      <c r="G44" s="398" t="n"/>
      <c r="H44" s="398" t="n"/>
      <c r="I44" s="398" t="n"/>
      <c r="J44" s="398" t="n"/>
      <c r="K44" s="398" t="n"/>
      <c r="L44" s="399" t="n"/>
      <c r="M44" s="301" t="n"/>
      <c r="N44" s="301" t="n"/>
      <c r="O44" s="301" t="n"/>
      <c r="P44" s="301" t="n"/>
      <c r="Q44" s="301" t="n"/>
      <c r="R44" s="301" t="n"/>
      <c r="S44" s="301" t="n"/>
      <c r="T44" s="7" t="n"/>
      <c r="U44" s="7" t="n"/>
      <c r="V44" s="7" t="n"/>
      <c r="W44" s="7" t="n"/>
      <c r="X44" s="7" t="n"/>
      <c r="Y44" s="7" t="n"/>
      <c r="Z44" s="7" t="n"/>
    </row>
    <row r="45" ht="30" customHeight="1" s="363">
      <c r="A45" s="301" t="n"/>
      <c r="B45" s="301" t="n"/>
      <c r="C45" s="301" t="n"/>
      <c r="D45" s="301" t="n"/>
      <c r="E45" s="301" t="n"/>
      <c r="F45" s="301" t="n"/>
      <c r="G45" s="301" t="n"/>
      <c r="H45" s="301" t="n"/>
      <c r="I45" s="301" t="n"/>
      <c r="J45" s="301" t="n"/>
      <c r="K45" s="301" t="n"/>
      <c r="L45" s="301" t="n"/>
      <c r="M45" s="301" t="n"/>
      <c r="N45" s="301" t="n"/>
      <c r="O45" s="301" t="n"/>
      <c r="P45" s="301" t="n"/>
      <c r="Q45" s="301" t="n"/>
      <c r="R45" s="301" t="n"/>
      <c r="S45" s="301" t="n"/>
      <c r="T45" s="7" t="n"/>
      <c r="U45" s="7" t="n"/>
      <c r="V45" s="7" t="n"/>
      <c r="W45" s="7" t="n"/>
      <c r="X45" s="7" t="n"/>
      <c r="Y45" s="7" t="n"/>
      <c r="Z45" s="7" t="n"/>
    </row>
    <row r="46" ht="19.5" customHeight="1" s="363">
      <c r="A46" s="436" t="inlineStr">
        <is>
          <t>SEASONAL STAFF ROSTER  —  Core = permanent contract  |  Seasonal = fixed-term Apr–Oct</t>
        </is>
      </c>
      <c r="B46" s="398" t="n"/>
      <c r="C46" s="398" t="n"/>
      <c r="D46" s="398" t="n"/>
      <c r="E46" s="398" t="n"/>
      <c r="F46" s="398" t="n"/>
      <c r="G46" s="398" t="n"/>
      <c r="H46" s="398" t="n"/>
      <c r="I46" s="398" t="n"/>
      <c r="J46" s="398" t="n"/>
      <c r="K46" s="398" t="n"/>
      <c r="L46" s="399" t="n"/>
      <c r="M46" s="301" t="n"/>
      <c r="N46" s="301" t="n"/>
      <c r="O46" s="301" t="n"/>
      <c r="P46" s="301" t="n"/>
      <c r="Q46" s="301" t="n"/>
      <c r="R46" s="301" t="n"/>
      <c r="S46" s="301" t="n"/>
      <c r="T46" s="7" t="n"/>
      <c r="U46" s="7" t="n"/>
      <c r="V46" s="7" t="n"/>
      <c r="W46" s="7" t="n"/>
      <c r="X46" s="7" t="n"/>
      <c r="Y46" s="7" t="n"/>
      <c r="Z46" s="7" t="n"/>
    </row>
    <row r="47" ht="19.5" customHeight="1" s="363">
      <c r="A47" s="103" t="inlineStr">
        <is>
          <t>Name</t>
        </is>
      </c>
      <c r="B47" s="103" t="inlineStr">
        <is>
          <t>Contract Type</t>
        </is>
      </c>
      <c r="C47" s="103" t="inlineStr">
        <is>
          <t>Active</t>
        </is>
      </c>
      <c r="D47" s="103" t="inlineStr">
        <is>
          <t>Notes</t>
        </is>
      </c>
      <c r="E47" s="316" t="n"/>
      <c r="F47" s="316" t="n"/>
      <c r="G47" s="316" t="n"/>
      <c r="H47" s="316" t="n"/>
      <c r="I47" s="316" t="n"/>
      <c r="J47" s="316" t="n"/>
      <c r="K47" s="316" t="n"/>
      <c r="L47" s="316" t="n"/>
      <c r="M47" s="301" t="n"/>
      <c r="N47" s="301" t="n"/>
      <c r="O47" s="301" t="n"/>
      <c r="P47" s="301" t="n"/>
      <c r="Q47" s="301" t="n"/>
      <c r="R47" s="301" t="n"/>
      <c r="S47" s="301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363">
      <c r="A48" s="91" t="inlineStr">
        <is>
          <t>T1 — Amara</t>
        </is>
      </c>
      <c r="B48" s="317" t="inlineStr">
        <is>
          <t>Permanent</t>
        </is>
      </c>
      <c r="C48" s="317" t="inlineStr">
        <is>
          <t>Year-round</t>
        </is>
      </c>
      <c r="D48" s="318" t="inlineStr">
        <is>
          <t>Core team</t>
        </is>
      </c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01" t="n"/>
      <c r="N48" s="301" t="n"/>
      <c r="O48" s="301" t="n"/>
      <c r="P48" s="301" t="n"/>
      <c r="Q48" s="301" t="n"/>
      <c r="R48" s="301" t="n"/>
      <c r="S48" s="301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363">
      <c r="A49" s="91" t="inlineStr">
        <is>
          <t>T2 — Rania</t>
        </is>
      </c>
      <c r="B49" s="317" t="inlineStr">
        <is>
          <t>Permanent</t>
        </is>
      </c>
      <c r="C49" s="317" t="inlineStr">
        <is>
          <t>Year-round</t>
        </is>
      </c>
      <c r="D49" s="318" t="inlineStr">
        <is>
          <t>Core team</t>
        </is>
      </c>
      <c r="E49" s="319" t="n"/>
      <c r="F49" s="319" t="n"/>
      <c r="G49" s="319" t="n"/>
      <c r="H49" s="319" t="n"/>
      <c r="I49" s="319" t="n"/>
      <c r="J49" s="319" t="n"/>
      <c r="K49" s="319" t="n"/>
      <c r="L49" s="319" t="n"/>
      <c r="M49" s="301" t="n"/>
      <c r="N49" s="301" t="n"/>
      <c r="O49" s="301" t="n"/>
      <c r="P49" s="301" t="n"/>
      <c r="Q49" s="301" t="n"/>
      <c r="R49" s="301" t="n"/>
      <c r="S49" s="301" t="n"/>
      <c r="T49" s="7" t="n"/>
      <c r="U49" s="7" t="n"/>
      <c r="V49" s="7" t="n"/>
      <c r="W49" s="7" t="n"/>
      <c r="X49" s="7" t="n"/>
      <c r="Y49" s="7" t="n"/>
      <c r="Z49" s="7" t="n"/>
    </row>
    <row r="50" ht="18" customHeight="1" s="363">
      <c r="A50" s="91" t="inlineStr">
        <is>
          <t>T3 — (HIRE NOW)</t>
        </is>
      </c>
      <c r="B50" s="317" t="inlineStr">
        <is>
          <t>Permanent</t>
        </is>
      </c>
      <c r="C50" s="317" t="inlineStr">
        <is>
          <t>Year-round</t>
        </is>
      </c>
      <c r="D50" s="318" t="inlineStr">
        <is>
          <t>Core team</t>
        </is>
      </c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01" t="n"/>
      <c r="N50" s="301" t="n"/>
      <c r="O50" s="301" t="n"/>
      <c r="P50" s="301" t="n"/>
      <c r="Q50" s="301" t="n"/>
      <c r="R50" s="301" t="n"/>
      <c r="S50" s="301" t="n"/>
      <c r="T50" s="7" t="n"/>
      <c r="U50" s="7" t="n"/>
      <c r="V50" s="7" t="n"/>
      <c r="W50" s="7" t="n"/>
      <c r="X50" s="7" t="n"/>
      <c r="Y50" s="7" t="n"/>
      <c r="Z50" s="7" t="n"/>
    </row>
    <row r="51" ht="18" customHeight="1" s="363">
      <c r="A51" s="91" t="inlineStr">
        <is>
          <t>T4 — (HIRE NOW)</t>
        </is>
      </c>
      <c r="B51" s="317" t="inlineStr">
        <is>
          <t>Permanent</t>
        </is>
      </c>
      <c r="C51" s="317" t="inlineStr">
        <is>
          <t>Year-round</t>
        </is>
      </c>
      <c r="D51" s="318" t="inlineStr">
        <is>
          <t>Core team</t>
        </is>
      </c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01" t="n"/>
      <c r="N51" s="301" t="n"/>
      <c r="O51" s="301" t="n"/>
      <c r="P51" s="301" t="n"/>
      <c r="Q51" s="301" t="n"/>
      <c r="R51" s="301" t="n"/>
      <c r="S51" s="301" t="n"/>
      <c r="T51" s="7" t="n"/>
      <c r="U51" s="7" t="n"/>
      <c r="V51" s="7" t="n"/>
      <c r="W51" s="7" t="n"/>
      <c r="X51" s="7" t="n"/>
      <c r="Y51" s="7" t="n"/>
      <c r="Z51" s="7" t="n"/>
    </row>
    <row r="52" ht="18" customHeight="1" s="363">
      <c r="A52" s="91" t="inlineStr">
        <is>
          <t>T5 — (HIRE NOW)</t>
        </is>
      </c>
      <c r="B52" s="317" t="inlineStr">
        <is>
          <t>Permanent</t>
        </is>
      </c>
      <c r="C52" s="317" t="inlineStr">
        <is>
          <t>Year-round</t>
        </is>
      </c>
      <c r="D52" s="318" t="inlineStr">
        <is>
          <t>Core team</t>
        </is>
      </c>
      <c r="E52" s="319" t="n"/>
      <c r="F52" s="319" t="n"/>
      <c r="G52" s="319" t="n"/>
      <c r="H52" s="319" t="n"/>
      <c r="I52" s="319" t="n"/>
      <c r="J52" s="319" t="n"/>
      <c r="K52" s="319" t="n"/>
      <c r="L52" s="319" t="n"/>
      <c r="M52" s="301" t="n"/>
      <c r="N52" s="301" t="n"/>
      <c r="O52" s="301" t="n"/>
      <c r="P52" s="301" t="n"/>
      <c r="Q52" s="301" t="n"/>
      <c r="R52" s="301" t="n"/>
      <c r="S52" s="301" t="n"/>
      <c r="T52" s="7" t="n"/>
      <c r="U52" s="7" t="n"/>
      <c r="V52" s="7" t="n"/>
      <c r="W52" s="7" t="n"/>
      <c r="X52" s="7" t="n"/>
      <c r="Y52" s="7" t="n"/>
      <c r="Z52" s="7" t="n"/>
    </row>
    <row r="53" ht="18" customHeight="1" s="363">
      <c r="A53" s="320" t="inlineStr">
        <is>
          <t>T6 — (seasonal, from Apr)</t>
        </is>
      </c>
      <c r="B53" s="321" t="inlineStr">
        <is>
          <t>Fixed-term seasonal</t>
        </is>
      </c>
      <c r="C53" s="321" t="inlineStr">
        <is>
          <t>Apr 1 – Oct 31</t>
        </is>
      </c>
      <c r="D53" s="322" t="inlineStr">
        <is>
          <t>Recruit by Feb 15</t>
        </is>
      </c>
      <c r="E53" s="323" t="n"/>
      <c r="F53" s="323" t="n"/>
      <c r="G53" s="323" t="n"/>
      <c r="H53" s="323" t="n"/>
      <c r="I53" s="323" t="n"/>
      <c r="J53" s="323" t="n"/>
      <c r="K53" s="323" t="n"/>
      <c r="L53" s="323" t="n"/>
      <c r="M53" s="301" t="n"/>
      <c r="N53" s="301" t="n"/>
      <c r="O53" s="301" t="n"/>
      <c r="P53" s="301" t="n"/>
      <c r="Q53" s="301" t="n"/>
      <c r="R53" s="301" t="n"/>
      <c r="S53" s="301" t="n"/>
      <c r="T53" s="7" t="n"/>
      <c r="U53" s="7" t="n"/>
      <c r="V53" s="7" t="n"/>
      <c r="W53" s="7" t="n"/>
      <c r="X53" s="7" t="n"/>
      <c r="Y53" s="7" t="n"/>
      <c r="Z53" s="7" t="n"/>
    </row>
    <row r="54" ht="18" customHeight="1" s="363">
      <c r="A54" s="320" t="inlineStr">
        <is>
          <t>T7 — (seasonal, from Jun)</t>
        </is>
      </c>
      <c r="B54" s="321" t="inlineStr">
        <is>
          <t>Fixed-term seasonal</t>
        </is>
      </c>
      <c r="C54" s="321" t="inlineStr">
        <is>
          <t>Apr 1 – Oct 31</t>
        </is>
      </c>
      <c r="D54" s="322" t="inlineStr">
        <is>
          <t>Recruit by Feb 15</t>
        </is>
      </c>
      <c r="E54" s="323" t="n"/>
      <c r="F54" s="323" t="n"/>
      <c r="G54" s="323" t="n"/>
      <c r="H54" s="323" t="n"/>
      <c r="I54" s="323" t="n"/>
      <c r="J54" s="323" t="n"/>
      <c r="K54" s="323" t="n"/>
      <c r="L54" s="323" t="n"/>
      <c r="M54" s="301" t="n"/>
      <c r="N54" s="301" t="n"/>
      <c r="O54" s="301" t="n"/>
      <c r="P54" s="301" t="n"/>
      <c r="Q54" s="301" t="n"/>
      <c r="R54" s="301" t="n"/>
      <c r="S54" s="301" t="n"/>
      <c r="T54" s="7" t="n"/>
      <c r="U54" s="7" t="n"/>
      <c r="V54" s="7" t="n"/>
      <c r="W54" s="7" t="n"/>
      <c r="X54" s="7" t="n"/>
      <c r="Y54" s="7" t="n"/>
      <c r="Z54" s="7" t="n"/>
    </row>
    <row r="55" ht="18" customHeight="1" s="363">
      <c r="A55" s="301" t="n"/>
      <c r="B55" s="301" t="n"/>
      <c r="C55" s="301" t="n"/>
      <c r="D55" s="301" t="n"/>
      <c r="E55" s="301" t="n"/>
      <c r="F55" s="301" t="n"/>
      <c r="G55" s="301" t="n"/>
      <c r="H55" s="301" t="n"/>
      <c r="I55" s="301" t="n"/>
      <c r="J55" s="301" t="n"/>
      <c r="K55" s="301" t="n"/>
      <c r="L55" s="301" t="n"/>
      <c r="M55" s="301" t="n"/>
      <c r="N55" s="301" t="n"/>
      <c r="O55" s="301" t="n"/>
      <c r="P55" s="301" t="n"/>
      <c r="Q55" s="301" t="n"/>
      <c r="R55" s="301" t="n"/>
      <c r="S55" s="301" t="n"/>
      <c r="T55" s="7" t="n"/>
      <c r="U55" s="7" t="n"/>
      <c r="V55" s="7" t="n"/>
      <c r="W55" s="7" t="n"/>
      <c r="X55" s="7" t="n"/>
      <c r="Y55" s="7" t="n"/>
      <c r="Z55" s="7" t="n"/>
    </row>
    <row r="56" ht="21.75" customHeight="1" s="363">
      <c r="A56" s="262" t="inlineStr">
        <is>
          <t>T:R RATIO QC  —  THERAPIST · RECEPTION HC SPEND RECONCILIATION  |  Validates that cost allocation by role is within industry benchmarks</t>
        </is>
      </c>
      <c r="B56" s="398" t="n"/>
      <c r="C56" s="398" t="n"/>
      <c r="D56" s="398" t="n"/>
      <c r="E56" s="398" t="n"/>
      <c r="F56" s="398" t="n"/>
      <c r="G56" s="398" t="n"/>
      <c r="H56" s="398" t="n"/>
      <c r="I56" s="398" t="n"/>
      <c r="J56" s="398" t="n"/>
      <c r="K56" s="398" t="n"/>
      <c r="L56" s="399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30" customHeight="1" s="363">
      <c r="A57" s="17" t="inlineStr">
        <is>
          <t>Role / Category</t>
        </is>
      </c>
      <c r="B57" s="17" t="inlineStr">
        <is>
          <t>Avg Annual
FTEs</t>
        </is>
      </c>
      <c r="C57" s="17" t="inlineStr">
        <is>
          <t>Annual Cost (€)</t>
        </is>
      </c>
      <c r="D57" s="17" t="inlineStr">
        <is>
          <t>% of Total
Dynamic HC</t>
        </is>
      </c>
      <c r="E57" s="17" t="inlineStr">
        <is>
          <t>Industry
Benchmark</t>
        </is>
      </c>
      <c r="F57" s="17" t="inlineStr">
        <is>
          <t>QC Status</t>
        </is>
      </c>
      <c r="G57" s="324" t="n"/>
      <c r="H57" s="324" t="n"/>
      <c r="I57" s="324" t="n"/>
      <c r="J57" s="324" t="n"/>
      <c r="K57" s="324" t="n"/>
      <c r="L57" s="324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8" customHeight="1" s="363">
      <c r="A58" s="91" t="inlineStr">
        <is>
          <t>Therapists (T)</t>
        </is>
      </c>
      <c r="B58" s="325" t="inlineStr">
        <is>
          <t>5.7</t>
        </is>
      </c>
      <c r="C58" s="303" t="n">
        <v>114036</v>
      </c>
      <c r="D58" s="326" t="n">
        <v>0.6638993520292024</v>
      </c>
      <c r="E58" s="327" t="inlineStr">
        <is>
          <t>60% – 85%</t>
        </is>
      </c>
      <c r="F58" s="328" t="inlineStr">
        <is>
          <t>✓  T = 66.4% of total HC</t>
        </is>
      </c>
      <c r="G58" s="329" t="n"/>
      <c r="H58" s="329" t="n"/>
      <c r="I58" s="329" t="n"/>
      <c r="J58" s="329" t="n"/>
      <c r="K58" s="329" t="n"/>
      <c r="L58" s="329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8" customHeight="1" s="363">
      <c r="A59" s="330" t="inlineStr">
        <is>
          <t>Reception (R)</t>
        </is>
      </c>
      <c r="B59" s="331" t="inlineStr">
        <is>
          <t>1</t>
        </is>
      </c>
      <c r="C59" s="28" t="n">
        <v>18780</v>
      </c>
      <c r="D59" s="326" t="n">
        <v>0.1093341561533938</v>
      </c>
      <c r="E59" s="332" t="inlineStr">
        <is>
          <t>7% – 20%</t>
        </is>
      </c>
      <c r="F59" s="328" t="inlineStr">
        <is>
          <t>✓  R = 10.9% of total HC</t>
        </is>
      </c>
      <c r="G59" s="333" t="n"/>
      <c r="H59" s="333" t="n"/>
      <c r="I59" s="333" t="n"/>
      <c r="J59" s="333" t="n"/>
      <c r="K59" s="333" t="n"/>
      <c r="L59" s="333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8" customHeight="1" s="363">
      <c r="A60" s="334" t="inlineStr">
        <is>
          <t>Relationship Manager (RM)</t>
        </is>
      </c>
      <c r="B60" s="335" t="inlineStr">
        <is>
          <t>33% FTE</t>
        </is>
      </c>
      <c r="C60" s="336" t="n">
        <v>11064</v>
      </c>
      <c r="D60" s="326" t="n">
        <v>0.06441283832167995</v>
      </c>
      <c r="E60" s="337" t="inlineStr">
        <is>
          <t>3% – 10%</t>
        </is>
      </c>
      <c r="F60" s="328" t="inlineStr">
        <is>
          <t>✓  RM = 6.4% of total HC</t>
        </is>
      </c>
      <c r="G60" s="338" t="n"/>
      <c r="H60" s="338" t="n"/>
      <c r="I60" s="338" t="n"/>
      <c r="J60" s="338" t="n"/>
      <c r="K60" s="338" t="n"/>
      <c r="L60" s="338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8" customHeight="1" s="363">
      <c r="A61" s="339" t="inlineStr">
        <is>
          <t>Variable Commissions</t>
        </is>
      </c>
      <c r="B61" s="340" t="inlineStr">
        <is>
          <t>—</t>
        </is>
      </c>
      <c r="C61" s="341" t="n">
        <v>27887</v>
      </c>
      <c r="D61" s="342" t="n">
        <v>0.1623536534957239</v>
      </c>
      <c r="E61" s="340" t="inlineStr">
        <is>
          <t>—</t>
        </is>
      </c>
      <c r="F61" s="339" t="inlineStr">
        <is>
          <t>Treatment + retail performance bonuses</t>
        </is>
      </c>
      <c r="G61" s="343" t="n"/>
      <c r="H61" s="343" t="n"/>
      <c r="I61" s="343" t="n"/>
      <c r="J61" s="343" t="n"/>
      <c r="K61" s="343" t="n"/>
      <c r="L61" s="343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21.75" customHeight="1" s="363">
      <c r="A62" s="262" t="inlineStr">
        <is>
          <t>TOTAL DYNAMIC HC</t>
        </is>
      </c>
      <c r="B62" s="344" t="inlineStr">
        <is>
          <t>—</t>
        </is>
      </c>
      <c r="C62" s="55" t="n">
        <v>171767</v>
      </c>
      <c r="D62" s="9" t="inlineStr">
        <is>
          <t>100.0%</t>
        </is>
      </c>
      <c r="E62" s="56" t="n"/>
      <c r="F62" s="56" t="n"/>
      <c r="G62" s="56" t="n"/>
      <c r="H62" s="56" t="n"/>
      <c r="I62" s="56" t="n"/>
      <c r="J62" s="56" t="n"/>
      <c r="K62" s="56" t="n"/>
      <c r="L62" s="56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9.5" customHeight="1" s="363">
      <c r="A63" s="345" t="inlineStr">
        <is>
          <t>T:R Headcount Ratio</t>
        </is>
      </c>
      <c r="B63" s="346" t="inlineStr">
        <is>
          <t>5.7 : 1</t>
        </is>
      </c>
      <c r="C63" s="347" t="inlineStr">
        <is>
          <t>Avg 5.7 therapists : 1 receptionist(s)</t>
        </is>
      </c>
      <c r="D63" s="306" t="n">
        <v>5.7</v>
      </c>
      <c r="E63" s="257" t="inlineStr">
        <is>
          <t>3:1 – 7:1</t>
        </is>
      </c>
      <c r="F63" s="328" t="inlineStr">
        <is>
          <t>✓  Ratio 5.7:1 — healthy</t>
        </is>
      </c>
      <c r="G63" s="324" t="n"/>
      <c r="H63" s="324" t="n"/>
      <c r="I63" s="324" t="n"/>
      <c r="J63" s="324" t="n"/>
      <c r="K63" s="324" t="n"/>
      <c r="L63" s="324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9.5" customHeight="1" s="363">
      <c r="A64" s="345" t="inlineStr">
        <is>
          <t>T:R Spend Ratio (€)</t>
        </is>
      </c>
      <c r="B64" s="346" t="inlineStr">
        <is>
          <t>6.1×</t>
        </is>
      </c>
      <c r="C64" s="347" t="inlineStr">
        <is>
          <t>For every €1 in reception cost, €6.1 spent on therapists</t>
        </is>
      </c>
      <c r="D64" s="306" t="n">
        <v>6.072204472843451</v>
      </c>
      <c r="E64" s="257" t="inlineStr">
        <is>
          <t>3× – 8×</t>
        </is>
      </c>
      <c r="F64" s="328" t="inlineStr">
        <is>
          <t>✓  Spend ratio 6.1× — healthy</t>
        </is>
      </c>
      <c r="G64" s="324" t="n"/>
      <c r="H64" s="324" t="n"/>
      <c r="I64" s="324" t="n"/>
      <c r="J64" s="324" t="n"/>
      <c r="K64" s="324" t="n"/>
      <c r="L64" s="324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363">
      <c r="A65" s="437" t="inlineStr">
        <is>
          <t>BENCHMARKS  |  T% of HC: 60–85% ✓  |  R% of HC: 7–20% ✓  |  RM% of HC: 3–10% ✓  |  T:R Headcount: 3:1–7:1 ✓  |  T:R Spend: 3×–8× ✓  |  Source: ISPA Industry Benchmarks + Carisma operational data</t>
        </is>
      </c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363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363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363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36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36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36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36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36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36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36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36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36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36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36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36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36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36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36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36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36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36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36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36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36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36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36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36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36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36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36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36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36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36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36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36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36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36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36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36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36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36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36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36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36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36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36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36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36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36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36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36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36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36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36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36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36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36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36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36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36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36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36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36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36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36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36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36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36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36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36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36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36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36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36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36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36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36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36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36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36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36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36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36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36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36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36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36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36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36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36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36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36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36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36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36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36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36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3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36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36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36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36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36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36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36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36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36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36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36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36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36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36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36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36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36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36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36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36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36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36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36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36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36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36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36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36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36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36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36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36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36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36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36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36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36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36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36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36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36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36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36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36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36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36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36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36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36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36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36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36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36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36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36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36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36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6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6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6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363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363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363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363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363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363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363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363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363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36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363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363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363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363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363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363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363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363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363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36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363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363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363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363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363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363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363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363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363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36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363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363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363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363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363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363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363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363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363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3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363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363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363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363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363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363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363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363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363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36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363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363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363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363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363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363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363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363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363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36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363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363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363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363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363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363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363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363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363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36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363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363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363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363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363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363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363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363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363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36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363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363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363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363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363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363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363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363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363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36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363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363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363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363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363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363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363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363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363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36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363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363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363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363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363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363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363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363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363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36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363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363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363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363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363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363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363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363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363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36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363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363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363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363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363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363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363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363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363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36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363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363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363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363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363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363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363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363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363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363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363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363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363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363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363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363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363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363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36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363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363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363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363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363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363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363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363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363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36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363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363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363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363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363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363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363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363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363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36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363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363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363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363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363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363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363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363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363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36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363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363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363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363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363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363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363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363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363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36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363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363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363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363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363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363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363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363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363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36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363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363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363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363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363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363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363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363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363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36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363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363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363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363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363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363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363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363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363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36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363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363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363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363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363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363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363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363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363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36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363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363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363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363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363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363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363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363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363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3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363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363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363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363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363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363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363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363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363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36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363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363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363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363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363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363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363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363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363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36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363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363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363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363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363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363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363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363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363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36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363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363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363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363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363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363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363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363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363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36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363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363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363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363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363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363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363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363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363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36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363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363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363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363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363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363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363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363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363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36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363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363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363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363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363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363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363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363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363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36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363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363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363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363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363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363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363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363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363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36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363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363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363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363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363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363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363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363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363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36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363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363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363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363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363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363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363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363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363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3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363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363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363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363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363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363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363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363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363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36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363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363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363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363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363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363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363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363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363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36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363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363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363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363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363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363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363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363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363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36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363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363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363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363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363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363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363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363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363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36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363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363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363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363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363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363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363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363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363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36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363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363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363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363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363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363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363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363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363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36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363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363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363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363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363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363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363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363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363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36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363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363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363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363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363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363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363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363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363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36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363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363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363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363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363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363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363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363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363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36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363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363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363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363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363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363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363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363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363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3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363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363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363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363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363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363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363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363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363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36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363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363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363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363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363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363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363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363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363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36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363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363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363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363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363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363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363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363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363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36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363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363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363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363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363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363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363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363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363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36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363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363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363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363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363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363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363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363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363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36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363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363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363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363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363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363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363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363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363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36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363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363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363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363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363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363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363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363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363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36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363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363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363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363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363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363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363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363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363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36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363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363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363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363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363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363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363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363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363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36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363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363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363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363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363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363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363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363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363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3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363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363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363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363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363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363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363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363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363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36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363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363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363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363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363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363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363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363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363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36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363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363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363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363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363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363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363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363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363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36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363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363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363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363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363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363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363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363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363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36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363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363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363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363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363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363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363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363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363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36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363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363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363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363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363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363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363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363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363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36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363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363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363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363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363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363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363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363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363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36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363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363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363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363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363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363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363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363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363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36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363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363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363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363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363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363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363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363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363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36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363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363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363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363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363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363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363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363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363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3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363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363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363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363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363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363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363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363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363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36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363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363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363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363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363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363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363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363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363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36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363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363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363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363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363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363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363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363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363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36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363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363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363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363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363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363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363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363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363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36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363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363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363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363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363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363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363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363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363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36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363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363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363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363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363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363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363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363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363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36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363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363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363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363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363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363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363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363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363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36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363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363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363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363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363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363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363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363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363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36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363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363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363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363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363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363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363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363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363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36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363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363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363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363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363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363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363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363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363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3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363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363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363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363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363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363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363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363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363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36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363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363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363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363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363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363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363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363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363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36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363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363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363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363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363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363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363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363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363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36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363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363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363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363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363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363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363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mergeCells count="9">
    <mergeCell ref="A1:J1"/>
    <mergeCell ref="A28:L28"/>
    <mergeCell ref="A46:L46"/>
    <mergeCell ref="A44:L44"/>
    <mergeCell ref="A4:J4"/>
    <mergeCell ref="A20:J20"/>
    <mergeCell ref="A56:L56"/>
    <mergeCell ref="A2:J2"/>
    <mergeCell ref="A65:L6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2026-04-03T08:29:46Z</dcterms:created>
  <dcterms:modified xmlns:dcterms="http://purl.org/dc/terms/" xmlns:xsi="http://www.w3.org/2001/XMLSchema-instance" xsi:type="dcterms:W3CDTF">2026-04-08T08:31:44Z</dcterms:modified>
</cp:coreProperties>
</file>