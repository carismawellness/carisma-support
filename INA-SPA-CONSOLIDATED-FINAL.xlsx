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sumptions &amp; Staffing" sheetId="1" state="visible" r:id="rId1"/>
    <sheet name="Conservative P&amp;L" sheetId="2" state="visible" r:id="rId2"/>
    <sheet name="Base P&amp;L" sheetId="3" state="visible" r:id="rId3"/>
    <sheet name="Bull P&amp;L" sheetId="4" state="visible" r:id="rId4"/>
    <sheet name="Scenario Summary" sheetId="5" state="visible" r:id="rId5"/>
    <sheet name="IRR Sensitivity" sheetId="6" state="visible" r:id="rId6"/>
    <sheet name="Payback Period Sensitivity" sheetId="7" state="visible" r:id="rId7"/>
    <sheet name="Negotiation &amp; Key Notes" sheetId="8" state="visible" r:id="rId8"/>
    <sheet name="Negotiation Briefing" sheetId="9" state="visible" r:id="rId9"/>
    <sheet name="Quick Reference" sheetId="10" state="visible" r:id="rId10"/>
    <sheet name="Execution Index" sheetId="11" state="visible" r:id="rId11"/>
    <sheet name="Annual Summary &amp; KPIs" sheetId="12" state="visible" r:id="rId12"/>
    <sheet name="Monthly P&amp;L" sheetId="13" state="visible" r:id="rId13"/>
    <sheet name="Sensitivity Analysis" sheetId="14" state="visible" r:id="rId14"/>
  </sheets>
  <definedNames/>
  <calcPr calcId="124519" fullCalcOnLoad="1"/>
</workbook>
</file>

<file path=xl/styles.xml><?xml version="1.0" encoding="utf-8"?>
<styleSheet xmlns="http://schemas.openxmlformats.org/spreadsheetml/2006/main">
  <numFmts count="3">
    <numFmt numFmtId="164" formatCode="€#,##0"/>
    <numFmt numFmtId="165" formatCode="0.0%"/>
    <numFmt numFmtId="166" formatCode="0.0"/>
  </numFmts>
  <fonts count="14">
    <font>
      <name val="Calibri"/>
      <family val="2"/>
      <color theme="1"/>
      <sz val="11"/>
      <scheme val="minor"/>
    </font>
    <font>
      <b val="1"/>
      <color rgb="00FFFFFF"/>
      <sz val="12"/>
    </font>
    <font>
      <b val="1"/>
      <sz val="11"/>
    </font>
    <font>
      <b val="1"/>
      <sz val="10"/>
    </font>
    <font>
      <b val="1"/>
    </font>
    <font>
      <b val="1"/>
      <sz val="12"/>
    </font>
    <font>
      <b val="1"/>
      <color rgb="00C00000"/>
      <sz val="11"/>
    </font>
    <font>
      <i val="1"/>
      <sz val="10"/>
    </font>
    <font>
      <i val="1"/>
      <sz val="9"/>
    </font>
    <font>
      <b val="1"/>
      <color rgb="00FFFFFF"/>
    </font>
    <font/>
    <font>
      <name val="Calibri"/>
      <sz val="10"/>
    </font>
    <font>
      <b val="1"/>
      <sz val="14"/>
    </font>
    <font>
      <i val="1"/>
      <color rgb="00666666"/>
      <sz val="9"/>
    </font>
  </fonts>
  <fills count="14">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7E6E6"/>
        <bgColor rgb="00E7E6E6"/>
      </patternFill>
    </fill>
    <fill>
      <patternFill patternType="solid">
        <fgColor rgb="0000B050"/>
        <bgColor rgb="0000B050"/>
      </patternFill>
    </fill>
    <fill>
      <patternFill patternType="solid">
        <fgColor rgb="00E2EFDA"/>
        <bgColor rgb="00E2EFDA"/>
      </patternFill>
    </fill>
    <fill>
      <patternFill patternType="solid">
        <fgColor rgb="00FFEB9C"/>
        <bgColor rgb="00FFEB9C"/>
      </patternFill>
    </fill>
    <fill>
      <patternFill patternType="solid">
        <fgColor rgb="00C6E0B4"/>
        <bgColor rgb="00C6E0B4"/>
      </patternFill>
    </fill>
    <fill>
      <patternFill patternType="solid">
        <fgColor rgb="00FCE4D6"/>
        <bgColor rgb="00FCE4D6"/>
      </patternFill>
    </fill>
    <fill>
      <patternFill patternType="solid">
        <fgColor rgb="00F4B084"/>
        <bgColor rgb="00F4B084"/>
      </patternFill>
    </fill>
    <fill>
      <patternFill patternType="solid">
        <fgColor rgb="00366092"/>
        <bgColor rgb="00366092"/>
      </patternFill>
    </fill>
    <fill>
      <patternFill patternType="solid">
        <fgColor rgb="000070C0"/>
        <bgColor rgb="000070C0"/>
      </patternFill>
    </fill>
    <fill>
      <patternFill patternType="solid">
        <fgColor rgb="00595959"/>
        <bgColor rgb="00595959"/>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pivotButton="0" quotePrefix="0" xfId="0"/>
    <xf numFmtId="0" fontId="2" fillId="3" borderId="0" pivotButton="0" quotePrefix="0" xfId="0"/>
    <xf numFmtId="0"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164" fontId="4" fillId="0" borderId="0" pivotButton="0" quotePrefix="0" xfId="0"/>
    <xf numFmtId="0" fontId="2" fillId="0" borderId="0" pivotButton="0" quotePrefix="0" xfId="0"/>
    <xf numFmtId="0" fontId="1" fillId="5" borderId="0" pivotButton="0" quotePrefix="0" xfId="0"/>
    <xf numFmtId="164" fontId="1" fillId="5" borderId="0" pivotButton="0" quotePrefix="0" xfId="0"/>
    <xf numFmtId="164" fontId="5" fillId="6" borderId="0" pivotButton="0" quotePrefix="0" xfId="0"/>
    <xf numFmtId="164" fontId="5" fillId="5" borderId="0" pivotButton="0" quotePrefix="0" xfId="0"/>
    <xf numFmtId="165" fontId="4" fillId="0" borderId="0" pivotButton="0" quotePrefix="0" xfId="0"/>
    <xf numFmtId="0" fontId="6" fillId="7" borderId="0" pivotButton="0" quotePrefix="0" xfId="0"/>
    <xf numFmtId="0" fontId="7" fillId="0" borderId="0" applyAlignment="1" pivotButton="0" quotePrefix="0" xfId="0">
      <alignment wrapText="1"/>
    </xf>
    <xf numFmtId="0" fontId="0" fillId="0" borderId="0" applyAlignment="1" pivotButton="0" quotePrefix="0" xfId="0">
      <alignment wrapText="1"/>
    </xf>
    <xf numFmtId="0" fontId="0" fillId="0" borderId="0" applyAlignment="1" pivotButton="0" quotePrefix="0" xfId="0">
      <alignment vertical="top" wrapText="1"/>
    </xf>
    <xf numFmtId="0" fontId="3" fillId="4" borderId="0" applyAlignment="1" pivotButton="0" quotePrefix="0" xfId="0">
      <alignment horizontal="center"/>
    </xf>
    <xf numFmtId="0" fontId="4" fillId="8" borderId="0" pivotButton="0" quotePrefix="0" xfId="0"/>
    <xf numFmtId="166" fontId="4" fillId="8" borderId="0" applyAlignment="1" pivotButton="0" quotePrefix="0" xfId="0">
      <alignment horizontal="center"/>
    </xf>
    <xf numFmtId="0" fontId="4" fillId="9" borderId="0" pivotButton="0" quotePrefix="0" xfId="0"/>
    <xf numFmtId="166" fontId="4" fillId="9" borderId="0" applyAlignment="1" pivotButton="0" quotePrefix="0" xfId="0">
      <alignment horizontal="center"/>
    </xf>
    <xf numFmtId="0" fontId="4" fillId="10" borderId="0" pivotButton="0" quotePrefix="0" xfId="0"/>
    <xf numFmtId="166" fontId="4" fillId="10" borderId="0" applyAlignment="1" pivotButton="0" quotePrefix="0" xfId="0">
      <alignment horizontal="center"/>
    </xf>
    <xf numFmtId="0" fontId="3" fillId="4" borderId="0" applyAlignment="1" pivotButton="0" quotePrefix="0" xfId="0">
      <alignment horizontal="center" wrapText="1"/>
    </xf>
    <xf numFmtId="0" fontId="8" fillId="0" borderId="0" pivotButton="0" quotePrefix="0" xfId="0"/>
    <xf numFmtId="2" fontId="0" fillId="8" borderId="0" applyAlignment="1" pivotButton="0" quotePrefix="0" xfId="0">
      <alignment horizontal="center"/>
    </xf>
    <xf numFmtId="2" fontId="0" fillId="9" borderId="0" applyAlignment="1" pivotButton="0" quotePrefix="0" xfId="0">
      <alignment horizontal="center"/>
    </xf>
    <xf numFmtId="2" fontId="0" fillId="10" borderId="0" applyAlignment="1" pivotButton="0" quotePrefix="0" xfId="0">
      <alignment horizontal="center"/>
    </xf>
    <xf numFmtId="164" fontId="9" fillId="8" borderId="0" pivotButton="0" quotePrefix="0" xfId="0"/>
    <xf numFmtId="164" fontId="9" fillId="9" borderId="0" pivotButton="0" quotePrefix="0" xfId="0"/>
    <xf numFmtId="164" fontId="9" fillId="10" borderId="0" pivotButton="0" quotePrefix="0" xfId="0"/>
    <xf numFmtId="0" fontId="10" fillId="0" borderId="0" pivotButton="0" quotePrefix="0" xfId="0"/>
    <xf numFmtId="0" fontId="11" fillId="0" borderId="0" applyAlignment="1" pivotButton="0" quotePrefix="0" xfId="0">
      <alignment vertical="top" wrapText="1"/>
    </xf>
    <xf numFmtId="0" fontId="12" fillId="0" borderId="0" pivotButton="0" quotePrefix="0" xfId="0"/>
    <xf numFmtId="0" fontId="7" fillId="0" borderId="0" pivotButton="0" quotePrefix="0" xfId="0"/>
    <xf numFmtId="0" fontId="9" fillId="11" borderId="1" applyAlignment="1" pivotButton="0" quotePrefix="0" xfId="0">
      <alignment horizontal="center"/>
    </xf>
    <xf numFmtId="0" fontId="0" fillId="0" borderId="1" pivotButton="0" quotePrefix="0" xfId="0"/>
    <xf numFmtId="164" fontId="0" fillId="0" borderId="1" applyAlignment="1" pivotButton="0" quotePrefix="0" xfId="0">
      <alignment horizontal="right"/>
    </xf>
    <xf numFmtId="164" fontId="4" fillId="4" borderId="1" applyAlignment="1" pivotButton="0" quotePrefix="0" xfId="0">
      <alignment horizontal="right"/>
    </xf>
    <xf numFmtId="0" fontId="9" fillId="5" borderId="1" applyAlignment="1" pivotButton="0" quotePrefix="0" xfId="0">
      <alignment horizontal="center"/>
    </xf>
    <xf numFmtId="165" fontId="0" fillId="0" borderId="1" applyAlignment="1" pivotButton="0" quotePrefix="0" xfId="0">
      <alignment horizontal="right"/>
    </xf>
    <xf numFmtId="0" fontId="9" fillId="12" borderId="1" applyAlignment="1" pivotButton="0" quotePrefix="0" xfId="0">
      <alignment horizontal="center"/>
    </xf>
    <xf numFmtId="2" fontId="0" fillId="0" borderId="1" applyAlignment="1" pivotButton="0" quotePrefix="0" xfId="0">
      <alignment horizontal="right"/>
    </xf>
    <xf numFmtId="0" fontId="13" fillId="0" borderId="0" pivotButton="0" quotePrefix="0" xfId="0"/>
    <xf numFmtId="0" fontId="9" fillId="1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5" customWidth="1" min="1" max="1"/>
    <col width="15" customWidth="1" min="2" max="2"/>
    <col width="18" customWidth="1" min="3" max="3"/>
    <col width="20" customWidth="1" min="4" max="4"/>
    <col width="35" customWidth="1" min="5" max="5"/>
  </cols>
  <sheetData>
    <row r="1">
      <c r="A1" s="1" t="inlineStr">
        <is>
          <t>ASSUMPTIONS &amp; STAFFING MODEL - DETAILED</t>
        </is>
      </c>
    </row>
    <row r="3">
      <c r="A3" s="2" t="inlineStr">
        <is>
          <t>REVENUE ASSUMPTIONS</t>
        </is>
      </c>
    </row>
    <row r="4">
      <c r="A4" s="3" t="inlineStr">
        <is>
          <t>Metric</t>
        </is>
      </c>
      <c r="B4" s="3" t="inlineStr">
        <is>
          <t>Conservative</t>
        </is>
      </c>
      <c r="C4" s="3" t="inlineStr">
        <is>
          <t>Base Case</t>
        </is>
      </c>
      <c r="D4" s="3" t="inlineStr">
        <is>
          <t>Optimistic</t>
        </is>
      </c>
    </row>
    <row r="5">
      <c r="A5" t="inlineStr">
        <is>
          <t>Spa - Average Treatment Price</t>
        </is>
      </c>
      <c r="B5" s="4" t="n">
        <v>100</v>
      </c>
      <c r="C5" s="4" t="n">
        <v>100</v>
      </c>
      <c r="D5" s="4" t="n">
        <v>100</v>
      </c>
    </row>
    <row r="6">
      <c r="A6" t="inlineStr">
        <is>
          <t>Spa - Monthly Utilization %</t>
        </is>
      </c>
      <c r="B6" s="5" t="n">
        <v>0.4</v>
      </c>
      <c r="C6" s="5" t="n">
        <v>0.45</v>
      </c>
      <c r="D6" s="5" t="n">
        <v>0.5</v>
      </c>
    </row>
    <row r="7">
      <c r="A7" t="inlineStr">
        <is>
          <t>Aesthetics - Average Price (Nurse)</t>
        </is>
      </c>
      <c r="B7" s="4" t="n">
        <v>350</v>
      </c>
      <c r="C7" s="4" t="n">
        <v>350</v>
      </c>
      <c r="D7" s="4" t="n">
        <v>350</v>
      </c>
    </row>
    <row r="8">
      <c r="A8" t="inlineStr">
        <is>
          <t>Aesthetics - Average Price (Other)</t>
        </is>
      </c>
      <c r="B8" s="4" t="n">
        <v>180</v>
      </c>
      <c r="C8" s="4" t="n">
        <v>180</v>
      </c>
      <c r="D8" s="4" t="n">
        <v>180</v>
      </c>
    </row>
    <row r="9">
      <c r="A9" t="inlineStr">
        <is>
          <t>Spa Month 12 Revenue</t>
        </is>
      </c>
      <c r="B9" s="4" t="n">
        <v>30000</v>
      </c>
      <c r="C9" s="4" t="n">
        <v>40000</v>
      </c>
      <c r="D9" s="4" t="n">
        <v>50000</v>
      </c>
    </row>
    <row r="10">
      <c r="A10" t="inlineStr">
        <is>
          <t>Aesthetics Month 12 Revenue</t>
        </is>
      </c>
      <c r="B10" s="4" t="n">
        <v>20000</v>
      </c>
      <c r="C10" s="4" t="n">
        <v>30000</v>
      </c>
      <c r="D10" s="4" t="n">
        <v>40000</v>
      </c>
    </row>
    <row r="11">
      <c r="A11" t="inlineStr">
        <is>
          <t xml:space="preserve">  - Nurse Services (65% of total)</t>
        </is>
      </c>
      <c r="B11" s="4" t="n">
        <v>13000</v>
      </c>
      <c r="C11" s="4" t="n">
        <v>19500</v>
      </c>
      <c r="D11" s="4" t="n">
        <v>26000</v>
      </c>
    </row>
    <row r="12">
      <c r="A12" t="inlineStr">
        <is>
          <t xml:space="preserve">  - Other Services (35% of total)</t>
        </is>
      </c>
      <c r="B12" s="4" t="n">
        <v>7000</v>
      </c>
      <c r="C12" s="4" t="n">
        <v>10500</v>
      </c>
      <c r="D12" s="4" t="n">
        <v>14000</v>
      </c>
    </row>
    <row r="15">
      <c r="A15" s="2" t="inlineStr">
        <is>
          <t>PAYROLL STRUCTURE (DETAILED)</t>
        </is>
      </c>
    </row>
    <row r="16">
      <c r="A16" s="3" t="inlineStr">
        <is>
          <t>Role</t>
        </is>
      </c>
      <c r="B16" s="3" t="inlineStr">
        <is>
          <t>FTE</t>
        </is>
      </c>
      <c r="C16" s="3" t="inlineStr">
        <is>
          <t>Monthly Cost</t>
        </is>
      </c>
      <c r="D16" s="3" t="inlineStr">
        <is>
          <t>Annual Cost</t>
        </is>
      </c>
      <c r="E16" s="3" t="inlineStr">
        <is>
          <t>Notes</t>
        </is>
      </c>
    </row>
    <row r="17">
      <c r="A17" t="inlineStr">
        <is>
          <t>MANAGEMENT &amp; RECEPTION (Shared)</t>
        </is>
      </c>
    </row>
    <row r="18">
      <c r="A18" t="inlineStr">
        <is>
          <t xml:space="preserve">  Manager</t>
        </is>
      </c>
      <c r="B18" t="n">
        <v>1</v>
      </c>
      <c r="C18" s="4" t="n">
        <v>2500</v>
      </c>
      <c r="D18" s="4" t="n">
        <v>30000</v>
      </c>
      <c r="E18" t="inlineStr">
        <is>
          <t>Full-time, manages both spa &amp; clinic</t>
        </is>
      </c>
    </row>
    <row r="19">
      <c r="A19" t="inlineStr">
        <is>
          <t xml:space="preserve">  Receptionists</t>
        </is>
      </c>
      <c r="B19" t="n">
        <v>2</v>
      </c>
      <c r="C19" s="4" t="n">
        <v>2400</v>
      </c>
      <c r="D19" s="4" t="n">
        <v>28800</v>
      </c>
      <c r="E19" t="inlineStr">
        <is>
          <t>2 FTE shared between spa &amp; clinic</t>
        </is>
      </c>
    </row>
    <row r="21">
      <c r="A21" t="inlineStr">
        <is>
          <t>SPA DIVISION</t>
        </is>
      </c>
    </row>
    <row r="22">
      <c r="A22" t="inlineStr">
        <is>
          <t xml:space="preserve">  Spa Therapists</t>
        </is>
      </c>
      <c r="B22" t="n">
        <v>5</v>
      </c>
      <c r="C22" s="4" t="n">
        <v>9000</v>
      </c>
      <c r="D22" s="4" t="n">
        <v>108000</v>
      </c>
      <c r="E22" t="inlineStr">
        <is>
          <t>€1,800 per therapist/month</t>
        </is>
      </c>
    </row>
    <row r="24">
      <c r="A24" t="inlineStr">
        <is>
          <t>AESTHETICS/CLINIC DIVISION</t>
        </is>
      </c>
    </row>
    <row r="25">
      <c r="A25" t="inlineStr">
        <is>
          <t xml:space="preserve">  Medical Nurse</t>
        </is>
      </c>
      <c r="B25" t="n">
        <v>1</v>
      </c>
      <c r="C25" s="4" t="n">
        <v>5500</v>
      </c>
      <c r="D25" s="4" t="n">
        <v>66000</v>
      </c>
      <c r="E25" t="inlineStr">
        <is>
          <t>Manages medical aesthetics services</t>
        </is>
      </c>
    </row>
    <row r="26">
      <c r="A26" t="inlineStr">
        <is>
          <t xml:space="preserve">  Aesthetics Therapists</t>
        </is>
      </c>
      <c r="B26" t="n">
        <v>2</v>
      </c>
      <c r="C26" s="4" t="n">
        <v>4000</v>
      </c>
      <c r="D26" s="4" t="n">
        <v>48000</v>
      </c>
      <c r="E26" t="inlineStr">
        <is>
          <t>€2,000 per therapist/month base</t>
        </is>
      </c>
    </row>
    <row r="27">
      <c r="A27" t="inlineStr">
        <is>
          <t xml:space="preserve">  Revenue Share (5% of Aes)</t>
        </is>
      </c>
      <c r="C27" t="inlineStr">
        <is>
          <t>Variable</t>
        </is>
      </c>
      <c r="D27" t="inlineStr">
        <is>
          <t>Formula</t>
        </is>
      </c>
      <c r="E27" t="inlineStr">
        <is>
          <t>5% of total aesthetics revenue</t>
        </is>
      </c>
    </row>
    <row r="29">
      <c r="A29" t="inlineStr">
        <is>
          <t>TOTAL BASE PAYROLL</t>
        </is>
      </c>
      <c r="C29" s="4" t="n">
        <v>23400</v>
      </c>
      <c r="D29" s="4" t="n">
        <v>280800</v>
      </c>
      <c r="E29" t="inlineStr">
        <is>
          <t>Excl. revenue share</t>
        </is>
      </c>
    </row>
    <row r="32">
      <c r="A32" s="2" t="inlineStr">
        <is>
          <t>OPERATING COSTS (NON-PAYROLL)</t>
        </is>
      </c>
    </row>
    <row r="33">
      <c r="A33" s="3" t="inlineStr">
        <is>
          <t>Cost Category</t>
        </is>
      </c>
      <c r="B33" s="3" t="inlineStr">
        <is>
          <t>Monthly</t>
        </is>
      </c>
      <c r="C33" s="3" t="inlineStr">
        <is>
          <t>Annual</t>
        </is>
      </c>
      <c r="D33" s="3" t="inlineStr">
        <is>
          <t>Type</t>
        </is>
      </c>
      <c r="E33" s="3" t="inlineStr">
        <is>
          <t>Notes</t>
        </is>
      </c>
    </row>
    <row r="34">
      <c r="A34" t="inlineStr">
        <is>
          <t>FACILITIES</t>
        </is>
      </c>
    </row>
    <row r="35">
      <c r="A35" t="inlineStr">
        <is>
          <t xml:space="preserve">  Rent</t>
        </is>
      </c>
      <c r="B35" s="4" t="n">
        <v>5000</v>
      </c>
      <c r="C35" s="4" t="n">
        <v>60000</v>
      </c>
      <c r="D35" t="inlineStr">
        <is>
          <t>Fixed</t>
        </is>
      </c>
    </row>
    <row r="36">
      <c r="A36" t="inlineStr">
        <is>
          <t xml:space="preserve">  Utilities</t>
        </is>
      </c>
      <c r="B36" s="4" t="n">
        <v>500</v>
      </c>
      <c r="C36" s="4" t="n">
        <v>6000</v>
      </c>
      <c r="D36" t="inlineStr">
        <is>
          <t>Fixed</t>
        </is>
      </c>
    </row>
    <row r="37">
      <c r="A37" t="inlineStr">
        <is>
          <t xml:space="preserve">  Maintenance &amp; Repairs</t>
        </is>
      </c>
      <c r="B37" s="4" t="n">
        <v>300</v>
      </c>
      <c r="C37" s="4" t="n">
        <v>3600</v>
      </c>
      <c r="D37" t="inlineStr">
        <is>
          <t>Fixed</t>
        </is>
      </c>
    </row>
    <row r="38">
      <c r="A38" t="inlineStr">
        <is>
          <t xml:space="preserve">  Cleaning &amp; Laundry</t>
        </is>
      </c>
      <c r="B38" s="4" t="n">
        <v>400</v>
      </c>
      <c r="C38" s="4" t="n">
        <v>4800</v>
      </c>
      <c r="D38" t="inlineStr">
        <is>
          <t>Fixed</t>
        </is>
      </c>
    </row>
    <row r="40">
      <c r="A40" t="inlineStr">
        <is>
          <t>SYSTEMS &amp; OPERATIONS</t>
        </is>
      </c>
    </row>
    <row r="41">
      <c r="A41" t="inlineStr">
        <is>
          <t xml:space="preserve">  Internet &amp; Telephone</t>
        </is>
      </c>
      <c r="B41" s="4" t="n">
        <v>300</v>
      </c>
      <c r="C41" s="4" t="n">
        <v>3600</v>
      </c>
      <c r="D41" t="inlineStr">
        <is>
          <t>Fixed</t>
        </is>
      </c>
    </row>
    <row r="42">
      <c r="A42" t="inlineStr">
        <is>
          <t xml:space="preserve">  CRM/Booking System</t>
        </is>
      </c>
      <c r="B42" s="4" t="n">
        <v>80</v>
      </c>
      <c r="C42" s="4" t="n">
        <v>960</v>
      </c>
      <c r="D42" t="inlineStr">
        <is>
          <t>Fixed</t>
        </is>
      </c>
    </row>
    <row r="43">
      <c r="A43" t="inlineStr">
        <is>
          <t xml:space="preserve">  Point of Sale</t>
        </is>
      </c>
      <c r="B43" s="4" t="n">
        <v>80</v>
      </c>
      <c r="C43" s="4" t="n">
        <v>960</v>
      </c>
      <c r="D43" t="inlineStr">
        <is>
          <t>Fixed</t>
        </is>
      </c>
    </row>
    <row r="45">
      <c r="A45" t="inlineStr">
        <is>
          <t>PROFESSIONAL SERVICES</t>
        </is>
      </c>
    </row>
    <row r="46">
      <c r="A46" t="inlineStr">
        <is>
          <t xml:space="preserve">  Accounting &amp; Bookkeeping</t>
        </is>
      </c>
      <c r="B46" s="4" t="n">
        <v>400</v>
      </c>
      <c r="C46" s="4" t="n">
        <v>4800</v>
      </c>
      <c r="D46" t="inlineStr">
        <is>
          <t>Fixed</t>
        </is>
      </c>
      <c r="E46" t="inlineStr">
        <is>
          <t>Combined service</t>
        </is>
      </c>
    </row>
    <row r="48">
      <c r="A48" s="6" t="inlineStr">
        <is>
          <t>TOTAL FIXED OPERATING COSTS</t>
        </is>
      </c>
      <c r="B48" s="7" t="n">
        <v>7060</v>
      </c>
      <c r="C48" s="4" t="n">
        <v>84720</v>
      </c>
      <c r="D48" t="inlineStr">
        <is>
          <t>Fixed</t>
        </is>
      </c>
    </row>
    <row r="51">
      <c r="A51" s="2" t="inlineStr">
        <is>
          <t>COST OF GOODS SOLD (COGS) - VARIABLE</t>
        </is>
      </c>
    </row>
    <row r="52">
      <c r="A52" s="3" t="inlineStr">
        <is>
          <t>Cost Category</t>
        </is>
      </c>
      <c r="B52" s="3" t="inlineStr">
        <is>
          <t>Rate</t>
        </is>
      </c>
      <c r="C52" s="3" t="inlineStr">
        <is>
          <t>Basis</t>
        </is>
      </c>
      <c r="D52" s="3" t="inlineStr">
        <is>
          <t>Notes</t>
        </is>
      </c>
    </row>
    <row r="53">
      <c r="A53" t="inlineStr">
        <is>
          <t>Spa Consumables</t>
        </is>
      </c>
      <c r="B53" t="inlineStr">
        <is>
          <t>3%</t>
        </is>
      </c>
      <c r="C53" t="inlineStr">
        <is>
          <t>of Spa Revenue</t>
        </is>
      </c>
      <c r="D53" t="inlineStr">
        <is>
          <t>Traditional spa supplies</t>
        </is>
      </c>
    </row>
    <row r="54">
      <c r="A54" t="inlineStr">
        <is>
          <t>Nurse Services COGS</t>
        </is>
      </c>
      <c r="B54" t="inlineStr">
        <is>
          <t>35%</t>
        </is>
      </c>
      <c r="C54" t="inlineStr">
        <is>
          <t>of Nurse Revenue (65% of Aesthetics)</t>
        </is>
      </c>
      <c r="D54" t="inlineStr">
        <is>
          <t>Medical-grade products, injectables</t>
        </is>
      </c>
    </row>
    <row r="55">
      <c r="A55" t="inlineStr">
        <is>
          <t>Other Aesthetics COGS</t>
        </is>
      </c>
      <c r="B55" t="inlineStr">
        <is>
          <t>5%</t>
        </is>
      </c>
      <c r="C55" t="inlineStr">
        <is>
          <t>of Other Revenue (35% of Aesthetics)</t>
        </is>
      </c>
      <c r="D55" t="inlineStr">
        <is>
          <t>Lower cost supplies, facials, massage</t>
        </is>
      </c>
    </row>
    <row r="56">
      <c r="A56" t="inlineStr">
        <is>
          <t>Hotel Partnership Commission</t>
        </is>
      </c>
      <c r="B56" t="inlineStr">
        <is>
          <t>5%</t>
        </is>
      </c>
      <c r="C56" t="inlineStr">
        <is>
          <t>of Spa Revenue</t>
        </is>
      </c>
      <c r="D56" t="inlineStr">
        <is>
          <t>Hotel booking/referral fee</t>
        </is>
      </c>
    </row>
    <row r="57">
      <c r="A57" t="inlineStr">
        <is>
          <t>Contingency Buffer</t>
        </is>
      </c>
      <c r="B57" t="inlineStr">
        <is>
          <t>2%</t>
        </is>
      </c>
      <c r="C57" t="inlineStr">
        <is>
          <t>of Total Revenue</t>
        </is>
      </c>
      <c r="D57" t="inlineStr">
        <is>
          <t>Reserve for unexpected costs</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1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35" t="inlineStr">
        <is>
          <t>CONSERVATIVE CASE - 12 MONTH P&amp;L PROJECTION</t>
        </is>
      </c>
    </row>
    <row r="2">
      <c r="A2" s="36" t="inlineStr">
        <is>
          <t>Spa only, no clinic operation</t>
        </is>
      </c>
    </row>
    <row r="4">
      <c r="A4" s="37" t="inlineStr">
        <is>
          <t>Month</t>
        </is>
      </c>
      <c r="B4" s="37" t="inlineStr">
        <is>
          <t>Month #</t>
        </is>
      </c>
      <c r="C4" s="37" t="inlineStr">
        <is>
          <t>Spa Revenue</t>
        </is>
      </c>
      <c r="D4" s="37" t="inlineStr">
        <is>
          <t>Clinic Revenue</t>
        </is>
      </c>
      <c r="E4" s="37" t="inlineStr">
        <is>
          <t>Total Revenue</t>
        </is>
      </c>
      <c r="F4" s="37" t="inlineStr">
        <is>
          <t>Spa COGS</t>
        </is>
      </c>
      <c r="G4" s="37" t="inlineStr">
        <is>
          <t>Clinic COGS</t>
        </is>
      </c>
      <c r="H4" s="37" t="inlineStr">
        <is>
          <t>Payroll - Spa</t>
        </is>
      </c>
      <c r="I4" s="37" t="inlineStr">
        <is>
          <t>Payroll - Clinic</t>
        </is>
      </c>
      <c r="J4" s="37" t="inlineStr">
        <is>
          <t>Rent</t>
        </is>
      </c>
      <c r="K4" s="37" t="inlineStr">
        <is>
          <t>Other OpEx</t>
        </is>
      </c>
      <c r="L4" s="37" t="inlineStr">
        <is>
          <t>Total OpEx</t>
        </is>
      </c>
      <c r="M4" s="37" t="inlineStr">
        <is>
          <t>EBITDA</t>
        </is>
      </c>
    </row>
    <row r="5">
      <c r="A5" s="38" t="inlineStr">
        <is>
          <t>January</t>
        </is>
      </c>
      <c r="B5" s="38" t="n">
        <v>1</v>
      </c>
      <c r="C5" s="39" t="n">
        <v>30000</v>
      </c>
      <c r="D5" s="39" t="n">
        <v>0</v>
      </c>
      <c r="E5" s="39">
        <f>C5+D5</f>
        <v/>
      </c>
      <c r="F5" s="39">
        <f>C5*0.03</f>
        <v/>
      </c>
      <c r="G5" s="39">
        <f>D5*0.35</f>
        <v/>
      </c>
      <c r="H5" s="39" t="n">
        <v>13900</v>
      </c>
      <c r="I5" s="39" t="n">
        <v>0</v>
      </c>
      <c r="J5" s="39" t="n">
        <v>5000</v>
      </c>
      <c r="K5" s="39" t="n">
        <v>1660</v>
      </c>
      <c r="L5" s="39">
        <f>F5+G5+H5+I5+J5+K5</f>
        <v/>
      </c>
      <c r="M5" s="39">
        <f>E5-L5</f>
        <v/>
      </c>
    </row>
    <row r="6">
      <c r="A6" s="38" t="inlineStr">
        <is>
          <t>February</t>
        </is>
      </c>
      <c r="B6" s="38" t="n">
        <v>2</v>
      </c>
      <c r="C6" s="39" t="n">
        <v>30000</v>
      </c>
      <c r="D6" s="39" t="n">
        <v>0</v>
      </c>
      <c r="E6" s="39">
        <f>C6+D6</f>
        <v/>
      </c>
      <c r="F6" s="39">
        <f>C6*0.03</f>
        <v/>
      </c>
      <c r="G6" s="39">
        <f>D6*0.35</f>
        <v/>
      </c>
      <c r="H6" s="39" t="n">
        <v>13900</v>
      </c>
      <c r="I6" s="39" t="n">
        <v>0</v>
      </c>
      <c r="J6" s="39" t="n">
        <v>5000</v>
      </c>
      <c r="K6" s="39" t="n">
        <v>1660</v>
      </c>
      <c r="L6" s="39">
        <f>F6+G6+H6+I6+J6+K6</f>
        <v/>
      </c>
      <c r="M6" s="39">
        <f>E6-L6</f>
        <v/>
      </c>
    </row>
    <row r="7">
      <c r="A7" s="38" t="inlineStr">
        <is>
          <t>March</t>
        </is>
      </c>
      <c r="B7" s="38" t="n">
        <v>3</v>
      </c>
      <c r="C7" s="39" t="n">
        <v>30000</v>
      </c>
      <c r="D7" s="39" t="n">
        <v>0</v>
      </c>
      <c r="E7" s="39">
        <f>C7+D7</f>
        <v/>
      </c>
      <c r="F7" s="39">
        <f>C7*0.03</f>
        <v/>
      </c>
      <c r="G7" s="39">
        <f>D7*0.35</f>
        <v/>
      </c>
      <c r="H7" s="39" t="n">
        <v>13900</v>
      </c>
      <c r="I7" s="39" t="n">
        <v>0</v>
      </c>
      <c r="J7" s="39" t="n">
        <v>5000</v>
      </c>
      <c r="K7" s="39" t="n">
        <v>1660</v>
      </c>
      <c r="L7" s="39">
        <f>F7+G7+H7+I7+J7+K7</f>
        <v/>
      </c>
      <c r="M7" s="39">
        <f>E7-L7</f>
        <v/>
      </c>
    </row>
    <row r="8">
      <c r="A8" s="38" t="inlineStr">
        <is>
          <t>April</t>
        </is>
      </c>
      <c r="B8" s="38" t="n">
        <v>4</v>
      </c>
      <c r="C8" s="39" t="n">
        <v>30000</v>
      </c>
      <c r="D8" s="39" t="n">
        <v>0</v>
      </c>
      <c r="E8" s="39">
        <f>C8+D8</f>
        <v/>
      </c>
      <c r="F8" s="39">
        <f>C8*0.03</f>
        <v/>
      </c>
      <c r="G8" s="39">
        <f>D8*0.35</f>
        <v/>
      </c>
      <c r="H8" s="39" t="n">
        <v>13900</v>
      </c>
      <c r="I8" s="39" t="n">
        <v>0</v>
      </c>
      <c r="J8" s="39" t="n">
        <v>5000</v>
      </c>
      <c r="K8" s="39" t="n">
        <v>1660</v>
      </c>
      <c r="L8" s="39">
        <f>F8+G8+H8+I8+J8+K8</f>
        <v/>
      </c>
      <c r="M8" s="39">
        <f>E8-L8</f>
        <v/>
      </c>
    </row>
    <row r="9">
      <c r="A9" s="38" t="inlineStr">
        <is>
          <t>May</t>
        </is>
      </c>
      <c r="B9" s="38" t="n">
        <v>5</v>
      </c>
      <c r="C9" s="39" t="n">
        <v>30000</v>
      </c>
      <c r="D9" s="39" t="n">
        <v>0</v>
      </c>
      <c r="E9" s="39">
        <f>C9+D9</f>
        <v/>
      </c>
      <c r="F9" s="39">
        <f>C9*0.03</f>
        <v/>
      </c>
      <c r="G9" s="39">
        <f>D9*0.35</f>
        <v/>
      </c>
      <c r="H9" s="39" t="n">
        <v>13900</v>
      </c>
      <c r="I9" s="39" t="n">
        <v>0</v>
      </c>
      <c r="J9" s="39" t="n">
        <v>5000</v>
      </c>
      <c r="K9" s="39" t="n">
        <v>1660</v>
      </c>
      <c r="L9" s="39">
        <f>F9+G9+H9+I9+J9+K9</f>
        <v/>
      </c>
      <c r="M9" s="39">
        <f>E9-L9</f>
        <v/>
      </c>
    </row>
    <row r="10">
      <c r="A10" s="38" t="inlineStr">
        <is>
          <t>June</t>
        </is>
      </c>
      <c r="B10" s="38" t="n">
        <v>6</v>
      </c>
      <c r="C10" s="39" t="n">
        <v>30000</v>
      </c>
      <c r="D10" s="39" t="n">
        <v>0</v>
      </c>
      <c r="E10" s="39">
        <f>C10+D10</f>
        <v/>
      </c>
      <c r="F10" s="39">
        <f>C10*0.03</f>
        <v/>
      </c>
      <c r="G10" s="39">
        <f>D10*0.35</f>
        <v/>
      </c>
      <c r="H10" s="39" t="n">
        <v>13900</v>
      </c>
      <c r="I10" s="39" t="n">
        <v>0</v>
      </c>
      <c r="J10" s="39" t="n">
        <v>5000</v>
      </c>
      <c r="K10" s="39" t="n">
        <v>1660</v>
      </c>
      <c r="L10" s="39">
        <f>F10+G10+H10+I10+J10+K10</f>
        <v/>
      </c>
      <c r="M10" s="39">
        <f>E10-L10</f>
        <v/>
      </c>
    </row>
    <row r="11">
      <c r="A11" s="38" t="inlineStr">
        <is>
          <t>July</t>
        </is>
      </c>
      <c r="B11" s="38" t="n">
        <v>7</v>
      </c>
      <c r="C11" s="39" t="n">
        <v>30000</v>
      </c>
      <c r="D11" s="39" t="n">
        <v>0</v>
      </c>
      <c r="E11" s="39">
        <f>C11+D11</f>
        <v/>
      </c>
      <c r="F11" s="39">
        <f>C11*0.03</f>
        <v/>
      </c>
      <c r="G11" s="39">
        <f>D11*0.35</f>
        <v/>
      </c>
      <c r="H11" s="39" t="n">
        <v>13900</v>
      </c>
      <c r="I11" s="39" t="n">
        <v>0</v>
      </c>
      <c r="J11" s="39" t="n">
        <v>5000</v>
      </c>
      <c r="K11" s="39" t="n">
        <v>1660</v>
      </c>
      <c r="L11" s="39">
        <f>F11+G11+H11+I11+J11+K11</f>
        <v/>
      </c>
      <c r="M11" s="39">
        <f>E11-L11</f>
        <v/>
      </c>
    </row>
    <row r="12">
      <c r="A12" s="38" t="inlineStr">
        <is>
          <t>August</t>
        </is>
      </c>
      <c r="B12" s="38" t="n">
        <v>8</v>
      </c>
      <c r="C12" s="39" t="n">
        <v>30000</v>
      </c>
      <c r="D12" s="39" t="n">
        <v>0</v>
      </c>
      <c r="E12" s="39">
        <f>C12+D12</f>
        <v/>
      </c>
      <c r="F12" s="39">
        <f>C12*0.03</f>
        <v/>
      </c>
      <c r="G12" s="39">
        <f>D12*0.35</f>
        <v/>
      </c>
      <c r="H12" s="39" t="n">
        <v>13900</v>
      </c>
      <c r="I12" s="39" t="n">
        <v>0</v>
      </c>
      <c r="J12" s="39" t="n">
        <v>5000</v>
      </c>
      <c r="K12" s="39" t="n">
        <v>1660</v>
      </c>
      <c r="L12" s="39">
        <f>F12+G12+H12+I12+J12+K12</f>
        <v/>
      </c>
      <c r="M12" s="39">
        <f>E12-L12</f>
        <v/>
      </c>
    </row>
    <row r="13">
      <c r="A13" s="38" t="inlineStr">
        <is>
          <t>September</t>
        </is>
      </c>
      <c r="B13" s="38" t="n">
        <v>9</v>
      </c>
      <c r="C13" s="39" t="n">
        <v>30000</v>
      </c>
      <c r="D13" s="39" t="n">
        <v>0</v>
      </c>
      <c r="E13" s="39">
        <f>C13+D13</f>
        <v/>
      </c>
      <c r="F13" s="39">
        <f>C13*0.03</f>
        <v/>
      </c>
      <c r="G13" s="39">
        <f>D13*0.35</f>
        <v/>
      </c>
      <c r="H13" s="39" t="n">
        <v>13900</v>
      </c>
      <c r="I13" s="39" t="n">
        <v>0</v>
      </c>
      <c r="J13" s="39" t="n">
        <v>5000</v>
      </c>
      <c r="K13" s="39" t="n">
        <v>1660</v>
      </c>
      <c r="L13" s="39">
        <f>F13+G13+H13+I13+J13+K13</f>
        <v/>
      </c>
      <c r="M13" s="39">
        <f>E13-L13</f>
        <v/>
      </c>
    </row>
    <row r="14">
      <c r="A14" s="38" t="inlineStr">
        <is>
          <t>October</t>
        </is>
      </c>
      <c r="B14" s="38" t="n">
        <v>10</v>
      </c>
      <c r="C14" s="39" t="n">
        <v>30000</v>
      </c>
      <c r="D14" s="39" t="n">
        <v>0</v>
      </c>
      <c r="E14" s="39">
        <f>C14+D14</f>
        <v/>
      </c>
      <c r="F14" s="39">
        <f>C14*0.03</f>
        <v/>
      </c>
      <c r="G14" s="39">
        <f>D14*0.35</f>
        <v/>
      </c>
      <c r="H14" s="39" t="n">
        <v>13900</v>
      </c>
      <c r="I14" s="39" t="n">
        <v>0</v>
      </c>
      <c r="J14" s="39" t="n">
        <v>5000</v>
      </c>
      <c r="K14" s="39" t="n">
        <v>1660</v>
      </c>
      <c r="L14" s="39">
        <f>F14+G14+H14+I14+J14+K14</f>
        <v/>
      </c>
      <c r="M14" s="39">
        <f>E14-L14</f>
        <v/>
      </c>
    </row>
    <row r="15">
      <c r="A15" s="38" t="inlineStr">
        <is>
          <t>November</t>
        </is>
      </c>
      <c r="B15" s="38" t="n">
        <v>11</v>
      </c>
      <c r="C15" s="39" t="n">
        <v>30000</v>
      </c>
      <c r="D15" s="39" t="n">
        <v>0</v>
      </c>
      <c r="E15" s="39">
        <f>C15+D15</f>
        <v/>
      </c>
      <c r="F15" s="39">
        <f>C15*0.03</f>
        <v/>
      </c>
      <c r="G15" s="39">
        <f>D15*0.35</f>
        <v/>
      </c>
      <c r="H15" s="39" t="n">
        <v>13900</v>
      </c>
      <c r="I15" s="39" t="n">
        <v>0</v>
      </c>
      <c r="J15" s="39" t="n">
        <v>5000</v>
      </c>
      <c r="K15" s="39" t="n">
        <v>1660</v>
      </c>
      <c r="L15" s="39">
        <f>F15+G15+H15+I15+J15+K15</f>
        <v/>
      </c>
      <c r="M15" s="39">
        <f>E15-L15</f>
        <v/>
      </c>
    </row>
    <row r="16">
      <c r="A16" s="38" t="inlineStr">
        <is>
          <t>December</t>
        </is>
      </c>
      <c r="B16" s="38" t="n">
        <v>12</v>
      </c>
      <c r="C16" s="39" t="n">
        <v>30000</v>
      </c>
      <c r="D16" s="39" t="n">
        <v>0</v>
      </c>
      <c r="E16" s="39">
        <f>C16+D16</f>
        <v/>
      </c>
      <c r="F16" s="39">
        <f>C16*0.03</f>
        <v/>
      </c>
      <c r="G16" s="39">
        <f>D16*0.35</f>
        <v/>
      </c>
      <c r="H16" s="39" t="n">
        <v>13900</v>
      </c>
      <c r="I16" s="39" t="n">
        <v>0</v>
      </c>
      <c r="J16" s="39" t="n">
        <v>5000</v>
      </c>
      <c r="K16" s="39" t="n">
        <v>1660</v>
      </c>
      <c r="L16" s="39">
        <f>F16+G16+H16+I16+J16+K16</f>
        <v/>
      </c>
      <c r="M16" s="39">
        <f>E16-L16</f>
        <v/>
      </c>
    </row>
    <row r="17">
      <c r="A17" s="6" t="inlineStr">
        <is>
          <t>ANNUAL TOTAL</t>
        </is>
      </c>
      <c r="C17" s="40">
        <f>SUM(C5:C16)</f>
        <v/>
      </c>
      <c r="D17" s="40">
        <f>SUM(D5:D16)</f>
        <v/>
      </c>
      <c r="E17" s="40">
        <f>SUM(E5:E16)</f>
        <v/>
      </c>
      <c r="F17" s="40">
        <f>SUM(F5:F16)</f>
        <v/>
      </c>
      <c r="G17" s="40">
        <f>SUM(G5:G16)</f>
        <v/>
      </c>
      <c r="H17" s="40">
        <f>SUM(H5:H16)</f>
        <v/>
      </c>
      <c r="I17" s="40">
        <f>SUM(I5:I16)</f>
        <v/>
      </c>
      <c r="J17" s="40">
        <f>SUM(J5:J16)</f>
        <v/>
      </c>
      <c r="K17" s="40">
        <f>SUM(K5:K16)</f>
        <v/>
      </c>
      <c r="L17" s="40">
        <f>SUM(L5:L16)</f>
        <v/>
      </c>
      <c r="M17" s="40">
        <f>SUM(M5:M16)</f>
        <v/>
      </c>
    </row>
    <row r="18"/>
    <row r="19"/>
    <row r="20"/>
  </sheetData>
  <mergeCells count="2">
    <mergeCell ref="A2:M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1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35" t="inlineStr">
        <is>
          <t>BASE CASE - 12 MONTH P&amp;L PROJECTION</t>
        </is>
      </c>
    </row>
    <row r="2">
      <c r="A2" s="36" t="inlineStr">
        <is>
          <t>Spa €30K/month + Clinic ramping €10-20K</t>
        </is>
      </c>
    </row>
    <row r="4">
      <c r="A4" s="37" t="inlineStr">
        <is>
          <t>Month</t>
        </is>
      </c>
      <c r="B4" s="37" t="inlineStr">
        <is>
          <t>Month #</t>
        </is>
      </c>
      <c r="C4" s="37" t="inlineStr">
        <is>
          <t>Spa Revenue</t>
        </is>
      </c>
      <c r="D4" s="37" t="inlineStr">
        <is>
          <t>Clinic Revenue</t>
        </is>
      </c>
      <c r="E4" s="37" t="inlineStr">
        <is>
          <t>Total Revenue</t>
        </is>
      </c>
      <c r="F4" s="37" t="inlineStr">
        <is>
          <t>Spa COGS</t>
        </is>
      </c>
      <c r="G4" s="37" t="inlineStr">
        <is>
          <t>Clinic COGS</t>
        </is>
      </c>
      <c r="H4" s="37" t="inlineStr">
        <is>
          <t>Payroll - Spa</t>
        </is>
      </c>
      <c r="I4" s="37" t="inlineStr">
        <is>
          <t>Payroll - Clinic</t>
        </is>
      </c>
      <c r="J4" s="37" t="inlineStr">
        <is>
          <t>Rent</t>
        </is>
      </c>
      <c r="K4" s="37" t="inlineStr">
        <is>
          <t>Other OpEx</t>
        </is>
      </c>
      <c r="L4" s="37" t="inlineStr">
        <is>
          <t>Total OpEx</t>
        </is>
      </c>
      <c r="M4" s="37" t="inlineStr">
        <is>
          <t>EBITDA</t>
        </is>
      </c>
    </row>
    <row r="5">
      <c r="A5" s="38" t="inlineStr">
        <is>
          <t>January</t>
        </is>
      </c>
      <c r="B5" s="38" t="n">
        <v>1</v>
      </c>
      <c r="C5" s="39" t="n">
        <v>30000</v>
      </c>
      <c r="D5" s="39" t="n">
        <v>0</v>
      </c>
      <c r="E5" s="39">
        <f>C5+D5</f>
        <v/>
      </c>
      <c r="F5" s="39">
        <f>C5*0.03</f>
        <v/>
      </c>
      <c r="G5" s="39">
        <f>D5*0.35</f>
        <v/>
      </c>
      <c r="H5" s="39" t="n">
        <v>13900</v>
      </c>
      <c r="I5" s="39" t="n">
        <v>0</v>
      </c>
      <c r="J5" s="39" t="n">
        <v>5000</v>
      </c>
      <c r="K5" s="39" t="n">
        <v>1660</v>
      </c>
      <c r="L5" s="39">
        <f>F5+G5+H5+I5+J5+K5</f>
        <v/>
      </c>
      <c r="M5" s="39">
        <f>E5-L5</f>
        <v/>
      </c>
    </row>
    <row r="6">
      <c r="A6" s="38" t="inlineStr">
        <is>
          <t>February</t>
        </is>
      </c>
      <c r="B6" s="38" t="n">
        <v>2</v>
      </c>
      <c r="C6" s="39" t="n">
        <v>30000</v>
      </c>
      <c r="D6" s="39" t="n">
        <v>0</v>
      </c>
      <c r="E6" s="39">
        <f>C6+D6</f>
        <v/>
      </c>
      <c r="F6" s="39">
        <f>C6*0.03</f>
        <v/>
      </c>
      <c r="G6" s="39">
        <f>D6*0.35</f>
        <v/>
      </c>
      <c r="H6" s="39" t="n">
        <v>13900</v>
      </c>
      <c r="I6" s="39" t="n">
        <v>0</v>
      </c>
      <c r="J6" s="39" t="n">
        <v>5000</v>
      </c>
      <c r="K6" s="39" t="n">
        <v>1660</v>
      </c>
      <c r="L6" s="39">
        <f>F6+G6+H6+I6+J6+K6</f>
        <v/>
      </c>
      <c r="M6" s="39">
        <f>E6-L6</f>
        <v/>
      </c>
    </row>
    <row r="7">
      <c r="A7" s="38" t="inlineStr">
        <is>
          <t>March</t>
        </is>
      </c>
      <c r="B7" s="38" t="n">
        <v>3</v>
      </c>
      <c r="C7" s="39" t="n">
        <v>30000</v>
      </c>
      <c r="D7" s="39" t="n">
        <v>10000</v>
      </c>
      <c r="E7" s="39">
        <f>C7+D7</f>
        <v/>
      </c>
      <c r="F7" s="39">
        <f>C7*0.03</f>
        <v/>
      </c>
      <c r="G7" s="39">
        <f>D7*0.35</f>
        <v/>
      </c>
      <c r="H7" s="39" t="n">
        <v>13900</v>
      </c>
      <c r="I7" s="39" t="n">
        <v>7220</v>
      </c>
      <c r="J7" s="39" t="n">
        <v>5000</v>
      </c>
      <c r="K7" s="39" t="n">
        <v>1660</v>
      </c>
      <c r="L7" s="39">
        <f>F7+G7+H7+I7+J7+K7</f>
        <v/>
      </c>
      <c r="M7" s="39">
        <f>E7-L7</f>
        <v/>
      </c>
    </row>
    <row r="8">
      <c r="A8" s="38" t="inlineStr">
        <is>
          <t>April</t>
        </is>
      </c>
      <c r="B8" s="38" t="n">
        <v>4</v>
      </c>
      <c r="C8" s="39" t="n">
        <v>30000</v>
      </c>
      <c r="D8" s="39" t="n">
        <v>15000</v>
      </c>
      <c r="E8" s="39">
        <f>C8+D8</f>
        <v/>
      </c>
      <c r="F8" s="39">
        <f>C8*0.03</f>
        <v/>
      </c>
      <c r="G8" s="39">
        <f>D8*0.35</f>
        <v/>
      </c>
      <c r="H8" s="39" t="n">
        <v>13900</v>
      </c>
      <c r="I8" s="39" t="n">
        <v>7220</v>
      </c>
      <c r="J8" s="39" t="n">
        <v>5000</v>
      </c>
      <c r="K8" s="39" t="n">
        <v>1660</v>
      </c>
      <c r="L8" s="39">
        <f>F8+G8+H8+I8+J8+K8</f>
        <v/>
      </c>
      <c r="M8" s="39">
        <f>E8-L8</f>
        <v/>
      </c>
    </row>
    <row r="9">
      <c r="A9" s="38" t="inlineStr">
        <is>
          <t>May</t>
        </is>
      </c>
      <c r="B9" s="38" t="n">
        <v>5</v>
      </c>
      <c r="C9" s="39" t="n">
        <v>30000</v>
      </c>
      <c r="D9" s="39" t="n">
        <v>20000</v>
      </c>
      <c r="E9" s="39">
        <f>C9+D9</f>
        <v/>
      </c>
      <c r="F9" s="39">
        <f>C9*0.03</f>
        <v/>
      </c>
      <c r="G9" s="39">
        <f>D9*0.35</f>
        <v/>
      </c>
      <c r="H9" s="39" t="n">
        <v>13900</v>
      </c>
      <c r="I9" s="39" t="n">
        <v>7220</v>
      </c>
      <c r="J9" s="39" t="n">
        <v>5000</v>
      </c>
      <c r="K9" s="39" t="n">
        <v>1660</v>
      </c>
      <c r="L9" s="39">
        <f>F9+G9+H9+I9+J9+K9</f>
        <v/>
      </c>
      <c r="M9" s="39">
        <f>E9-L9</f>
        <v/>
      </c>
    </row>
    <row r="10">
      <c r="A10" s="38" t="inlineStr">
        <is>
          <t>June</t>
        </is>
      </c>
      <c r="B10" s="38" t="n">
        <v>6</v>
      </c>
      <c r="C10" s="39" t="n">
        <v>30000</v>
      </c>
      <c r="D10" s="39" t="n">
        <v>20000</v>
      </c>
      <c r="E10" s="39">
        <f>C10+D10</f>
        <v/>
      </c>
      <c r="F10" s="39">
        <f>C10*0.03</f>
        <v/>
      </c>
      <c r="G10" s="39">
        <f>D10*0.35</f>
        <v/>
      </c>
      <c r="H10" s="39" t="n">
        <v>13900</v>
      </c>
      <c r="I10" s="39" t="n">
        <v>7220</v>
      </c>
      <c r="J10" s="39" t="n">
        <v>5000</v>
      </c>
      <c r="K10" s="39" t="n">
        <v>1660</v>
      </c>
      <c r="L10" s="39">
        <f>F10+G10+H10+I10+J10+K10</f>
        <v/>
      </c>
      <c r="M10" s="39">
        <f>E10-L10</f>
        <v/>
      </c>
    </row>
    <row r="11">
      <c r="A11" s="38" t="inlineStr">
        <is>
          <t>July</t>
        </is>
      </c>
      <c r="B11" s="38" t="n">
        <v>7</v>
      </c>
      <c r="C11" s="39" t="n">
        <v>30000</v>
      </c>
      <c r="D11" s="39" t="n">
        <v>20000</v>
      </c>
      <c r="E11" s="39">
        <f>C11+D11</f>
        <v/>
      </c>
      <c r="F11" s="39">
        <f>C11*0.03</f>
        <v/>
      </c>
      <c r="G11" s="39">
        <f>D11*0.35</f>
        <v/>
      </c>
      <c r="H11" s="39" t="n">
        <v>13900</v>
      </c>
      <c r="I11" s="39" t="n">
        <v>7220</v>
      </c>
      <c r="J11" s="39" t="n">
        <v>5000</v>
      </c>
      <c r="K11" s="39" t="n">
        <v>1660</v>
      </c>
      <c r="L11" s="39">
        <f>F11+G11+H11+I11+J11+K11</f>
        <v/>
      </c>
      <c r="M11" s="39">
        <f>E11-L11</f>
        <v/>
      </c>
    </row>
    <row r="12">
      <c r="A12" s="38" t="inlineStr">
        <is>
          <t>August</t>
        </is>
      </c>
      <c r="B12" s="38" t="n">
        <v>8</v>
      </c>
      <c r="C12" s="39" t="n">
        <v>30000</v>
      </c>
      <c r="D12" s="39" t="n">
        <v>20000</v>
      </c>
      <c r="E12" s="39">
        <f>C12+D12</f>
        <v/>
      </c>
      <c r="F12" s="39">
        <f>C12*0.03</f>
        <v/>
      </c>
      <c r="G12" s="39">
        <f>D12*0.35</f>
        <v/>
      </c>
      <c r="H12" s="39" t="n">
        <v>13900</v>
      </c>
      <c r="I12" s="39" t="n">
        <v>7220</v>
      </c>
      <c r="J12" s="39" t="n">
        <v>5000</v>
      </c>
      <c r="K12" s="39" t="n">
        <v>1660</v>
      </c>
      <c r="L12" s="39">
        <f>F12+G12+H12+I12+J12+K12</f>
        <v/>
      </c>
      <c r="M12" s="39">
        <f>E12-L12</f>
        <v/>
      </c>
    </row>
    <row r="13">
      <c r="A13" s="38" t="inlineStr">
        <is>
          <t>September</t>
        </is>
      </c>
      <c r="B13" s="38" t="n">
        <v>9</v>
      </c>
      <c r="C13" s="39" t="n">
        <v>30000</v>
      </c>
      <c r="D13" s="39" t="n">
        <v>20000</v>
      </c>
      <c r="E13" s="39">
        <f>C13+D13</f>
        <v/>
      </c>
      <c r="F13" s="39">
        <f>C13*0.03</f>
        <v/>
      </c>
      <c r="G13" s="39">
        <f>D13*0.35</f>
        <v/>
      </c>
      <c r="H13" s="39" t="n">
        <v>13900</v>
      </c>
      <c r="I13" s="39" t="n">
        <v>7220</v>
      </c>
      <c r="J13" s="39" t="n">
        <v>5000</v>
      </c>
      <c r="K13" s="39" t="n">
        <v>1660</v>
      </c>
      <c r="L13" s="39">
        <f>F13+G13+H13+I13+J13+K13</f>
        <v/>
      </c>
      <c r="M13" s="39">
        <f>E13-L13</f>
        <v/>
      </c>
    </row>
    <row r="14">
      <c r="A14" s="38" t="inlineStr">
        <is>
          <t>October</t>
        </is>
      </c>
      <c r="B14" s="38" t="n">
        <v>10</v>
      </c>
      <c r="C14" s="39" t="n">
        <v>30000</v>
      </c>
      <c r="D14" s="39" t="n">
        <v>20000</v>
      </c>
      <c r="E14" s="39">
        <f>C14+D14</f>
        <v/>
      </c>
      <c r="F14" s="39">
        <f>C14*0.03</f>
        <v/>
      </c>
      <c r="G14" s="39">
        <f>D14*0.35</f>
        <v/>
      </c>
      <c r="H14" s="39" t="n">
        <v>13900</v>
      </c>
      <c r="I14" s="39" t="n">
        <v>7220</v>
      </c>
      <c r="J14" s="39" t="n">
        <v>5000</v>
      </c>
      <c r="K14" s="39" t="n">
        <v>1660</v>
      </c>
      <c r="L14" s="39">
        <f>F14+G14+H14+I14+J14+K14</f>
        <v/>
      </c>
      <c r="M14" s="39">
        <f>E14-L14</f>
        <v/>
      </c>
    </row>
    <row r="15">
      <c r="A15" s="38" t="inlineStr">
        <is>
          <t>November</t>
        </is>
      </c>
      <c r="B15" s="38" t="n">
        <v>11</v>
      </c>
      <c r="C15" s="39" t="n">
        <v>30000</v>
      </c>
      <c r="D15" s="39" t="n">
        <v>20000</v>
      </c>
      <c r="E15" s="39">
        <f>C15+D15</f>
        <v/>
      </c>
      <c r="F15" s="39">
        <f>C15*0.03</f>
        <v/>
      </c>
      <c r="G15" s="39">
        <f>D15*0.35</f>
        <v/>
      </c>
      <c r="H15" s="39" t="n">
        <v>13900</v>
      </c>
      <c r="I15" s="39" t="n">
        <v>7220</v>
      </c>
      <c r="J15" s="39" t="n">
        <v>5000</v>
      </c>
      <c r="K15" s="39" t="n">
        <v>1660</v>
      </c>
      <c r="L15" s="39">
        <f>F15+G15+H15+I15+J15+K15</f>
        <v/>
      </c>
      <c r="M15" s="39">
        <f>E15-L15</f>
        <v/>
      </c>
    </row>
    <row r="16">
      <c r="A16" s="38" t="inlineStr">
        <is>
          <t>December</t>
        </is>
      </c>
      <c r="B16" s="38" t="n">
        <v>12</v>
      </c>
      <c r="C16" s="39" t="n">
        <v>30000</v>
      </c>
      <c r="D16" s="39" t="n">
        <v>20000</v>
      </c>
      <c r="E16" s="39">
        <f>C16+D16</f>
        <v/>
      </c>
      <c r="F16" s="39">
        <f>C16*0.03</f>
        <v/>
      </c>
      <c r="G16" s="39">
        <f>D16*0.35</f>
        <v/>
      </c>
      <c r="H16" s="39" t="n">
        <v>13900</v>
      </c>
      <c r="I16" s="39" t="n">
        <v>7220</v>
      </c>
      <c r="J16" s="39" t="n">
        <v>5000</v>
      </c>
      <c r="K16" s="39" t="n">
        <v>1660</v>
      </c>
      <c r="L16" s="39">
        <f>F16+G16+H16+I16+J16+K16</f>
        <v/>
      </c>
      <c r="M16" s="39">
        <f>E16-L16</f>
        <v/>
      </c>
    </row>
    <row r="17">
      <c r="A17" s="6" t="inlineStr">
        <is>
          <t>ANNUAL TOTAL</t>
        </is>
      </c>
      <c r="C17" s="40">
        <f>SUM(C5:C16)</f>
        <v/>
      </c>
      <c r="D17" s="40">
        <f>SUM(D5:D16)</f>
        <v/>
      </c>
      <c r="E17" s="40">
        <f>SUM(E5:E16)</f>
        <v/>
      </c>
      <c r="F17" s="40">
        <f>SUM(F5:F16)</f>
        <v/>
      </c>
      <c r="G17" s="40">
        <f>SUM(G5:G16)</f>
        <v/>
      </c>
      <c r="H17" s="40">
        <f>SUM(H5:H16)</f>
        <v/>
      </c>
      <c r="I17" s="40">
        <f>SUM(I5:I16)</f>
        <v/>
      </c>
      <c r="J17" s="40">
        <f>SUM(J5:J16)</f>
        <v/>
      </c>
      <c r="K17" s="40">
        <f>SUM(K5:K16)</f>
        <v/>
      </c>
      <c r="L17" s="40">
        <f>SUM(L5:L16)</f>
        <v/>
      </c>
      <c r="M17" s="40">
        <f>SUM(M5:M16)</f>
        <v/>
      </c>
    </row>
    <row r="18"/>
    <row r="19"/>
    <row r="20"/>
  </sheetData>
  <mergeCells count="2">
    <mergeCell ref="A2:M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cols>
    <col width="12" customWidth="1" min="1" max="1"/>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35" t="inlineStr">
        <is>
          <t>BULL CASE - 12 MONTH P&amp;L PROJECTION</t>
        </is>
      </c>
    </row>
    <row r="2">
      <c r="A2" s="36" t="inlineStr">
        <is>
          <t>Spa €45K/month + Clinic ramping aggressively €20-50K</t>
        </is>
      </c>
    </row>
    <row r="4">
      <c r="A4" s="37" t="inlineStr">
        <is>
          <t>Month</t>
        </is>
      </c>
      <c r="B4" s="37" t="inlineStr">
        <is>
          <t>Month #</t>
        </is>
      </c>
      <c r="C4" s="37" t="inlineStr">
        <is>
          <t>Spa Revenue</t>
        </is>
      </c>
      <c r="D4" s="37" t="inlineStr">
        <is>
          <t>Clinic Revenue</t>
        </is>
      </c>
      <c r="E4" s="37" t="inlineStr">
        <is>
          <t>Total Revenue</t>
        </is>
      </c>
      <c r="F4" s="37" t="inlineStr">
        <is>
          <t>Spa COGS</t>
        </is>
      </c>
      <c r="G4" s="37" t="inlineStr">
        <is>
          <t>Clinic COGS</t>
        </is>
      </c>
      <c r="H4" s="37" t="inlineStr">
        <is>
          <t>Payroll - Spa</t>
        </is>
      </c>
      <c r="I4" s="37" t="inlineStr">
        <is>
          <t>Payroll - Clinic</t>
        </is>
      </c>
      <c r="J4" s="37" t="inlineStr">
        <is>
          <t>Rent</t>
        </is>
      </c>
      <c r="K4" s="37" t="inlineStr">
        <is>
          <t>Other OpEx</t>
        </is>
      </c>
      <c r="L4" s="37" t="inlineStr">
        <is>
          <t>Total OpEx</t>
        </is>
      </c>
      <c r="M4" s="37" t="inlineStr">
        <is>
          <t>EBITDA</t>
        </is>
      </c>
    </row>
    <row r="5">
      <c r="A5" s="38" t="inlineStr">
        <is>
          <t>January</t>
        </is>
      </c>
      <c r="B5" s="38" t="n">
        <v>1</v>
      </c>
      <c r="C5" s="39" t="n">
        <v>45000</v>
      </c>
      <c r="D5" s="39" t="n">
        <v>0</v>
      </c>
      <c r="E5" s="39">
        <f>C5+D5</f>
        <v/>
      </c>
      <c r="F5" s="39">
        <f>C5*0.03</f>
        <v/>
      </c>
      <c r="G5" s="39">
        <f>D5*0.35</f>
        <v/>
      </c>
      <c r="H5" s="39" t="n">
        <v>13900</v>
      </c>
      <c r="I5" s="39" t="n">
        <v>0</v>
      </c>
      <c r="J5" s="39" t="n">
        <v>5000</v>
      </c>
      <c r="K5" s="39" t="n">
        <v>1660</v>
      </c>
      <c r="L5" s="39">
        <f>F5+G5+H5+I5+J5+K5</f>
        <v/>
      </c>
      <c r="M5" s="39">
        <f>E5-L5</f>
        <v/>
      </c>
    </row>
    <row r="6">
      <c r="A6" s="38" t="inlineStr">
        <is>
          <t>February</t>
        </is>
      </c>
      <c r="B6" s="38" t="n">
        <v>2</v>
      </c>
      <c r="C6" s="39" t="n">
        <v>45000</v>
      </c>
      <c r="D6" s="39" t="n">
        <v>0</v>
      </c>
      <c r="E6" s="39">
        <f>C6+D6</f>
        <v/>
      </c>
      <c r="F6" s="39">
        <f>C6*0.03</f>
        <v/>
      </c>
      <c r="G6" s="39">
        <f>D6*0.35</f>
        <v/>
      </c>
      <c r="H6" s="39" t="n">
        <v>13900</v>
      </c>
      <c r="I6" s="39" t="n">
        <v>0</v>
      </c>
      <c r="J6" s="39" t="n">
        <v>5000</v>
      </c>
      <c r="K6" s="39" t="n">
        <v>1660</v>
      </c>
      <c r="L6" s="39">
        <f>F6+G6+H6+I6+J6+K6</f>
        <v/>
      </c>
      <c r="M6" s="39">
        <f>E6-L6</f>
        <v/>
      </c>
    </row>
    <row r="7">
      <c r="A7" s="38" t="inlineStr">
        <is>
          <t>March</t>
        </is>
      </c>
      <c r="B7" s="38" t="n">
        <v>3</v>
      </c>
      <c r="C7" s="39" t="n">
        <v>45000</v>
      </c>
      <c r="D7" s="39" t="n">
        <v>20000</v>
      </c>
      <c r="E7" s="39">
        <f>C7+D7</f>
        <v/>
      </c>
      <c r="F7" s="39">
        <f>C7*0.03</f>
        <v/>
      </c>
      <c r="G7" s="39">
        <f>D7*0.35</f>
        <v/>
      </c>
      <c r="H7" s="39" t="n">
        <v>13900</v>
      </c>
      <c r="I7" s="39" t="n">
        <v>7220</v>
      </c>
      <c r="J7" s="39" t="n">
        <v>5000</v>
      </c>
      <c r="K7" s="39" t="n">
        <v>1660</v>
      </c>
      <c r="L7" s="39">
        <f>F7+G7+H7+I7+J7+K7</f>
        <v/>
      </c>
      <c r="M7" s="39">
        <f>E7-L7</f>
        <v/>
      </c>
    </row>
    <row r="8">
      <c r="A8" s="38" t="inlineStr">
        <is>
          <t>April</t>
        </is>
      </c>
      <c r="B8" s="38" t="n">
        <v>4</v>
      </c>
      <c r="C8" s="39" t="n">
        <v>45000</v>
      </c>
      <c r="D8" s="39" t="n">
        <v>30000</v>
      </c>
      <c r="E8" s="39">
        <f>C8+D8</f>
        <v/>
      </c>
      <c r="F8" s="39">
        <f>C8*0.03</f>
        <v/>
      </c>
      <c r="G8" s="39">
        <f>D8*0.35</f>
        <v/>
      </c>
      <c r="H8" s="39" t="n">
        <v>13900</v>
      </c>
      <c r="I8" s="39" t="n">
        <v>7220</v>
      </c>
      <c r="J8" s="39" t="n">
        <v>5000</v>
      </c>
      <c r="K8" s="39" t="n">
        <v>1660</v>
      </c>
      <c r="L8" s="39">
        <f>F8+G8+H8+I8+J8+K8</f>
        <v/>
      </c>
      <c r="M8" s="39">
        <f>E8-L8</f>
        <v/>
      </c>
    </row>
    <row r="9">
      <c r="A9" s="38" t="inlineStr">
        <is>
          <t>May</t>
        </is>
      </c>
      <c r="B9" s="38" t="n">
        <v>5</v>
      </c>
      <c r="C9" s="39" t="n">
        <v>45000</v>
      </c>
      <c r="D9" s="39" t="n">
        <v>40000</v>
      </c>
      <c r="E9" s="39">
        <f>C9+D9</f>
        <v/>
      </c>
      <c r="F9" s="39">
        <f>C9*0.03</f>
        <v/>
      </c>
      <c r="G9" s="39">
        <f>D9*0.35</f>
        <v/>
      </c>
      <c r="H9" s="39" t="n">
        <v>13900</v>
      </c>
      <c r="I9" s="39" t="n">
        <v>7220</v>
      </c>
      <c r="J9" s="39" t="n">
        <v>5000</v>
      </c>
      <c r="K9" s="39" t="n">
        <v>1660</v>
      </c>
      <c r="L9" s="39">
        <f>F9+G9+H9+I9+J9+K9</f>
        <v/>
      </c>
      <c r="M9" s="39">
        <f>E9-L9</f>
        <v/>
      </c>
    </row>
    <row r="10">
      <c r="A10" s="38" t="inlineStr">
        <is>
          <t>June</t>
        </is>
      </c>
      <c r="B10" s="38" t="n">
        <v>6</v>
      </c>
      <c r="C10" s="39" t="n">
        <v>45000</v>
      </c>
      <c r="D10" s="39" t="n">
        <v>45000</v>
      </c>
      <c r="E10" s="39">
        <f>C10+D10</f>
        <v/>
      </c>
      <c r="F10" s="39">
        <f>C10*0.03</f>
        <v/>
      </c>
      <c r="G10" s="39">
        <f>D10*0.35</f>
        <v/>
      </c>
      <c r="H10" s="39" t="n">
        <v>13900</v>
      </c>
      <c r="I10" s="39" t="n">
        <v>7220</v>
      </c>
      <c r="J10" s="39" t="n">
        <v>5000</v>
      </c>
      <c r="K10" s="39" t="n">
        <v>1660</v>
      </c>
      <c r="L10" s="39">
        <f>F10+G10+H10+I10+J10+K10</f>
        <v/>
      </c>
      <c r="M10" s="39">
        <f>E10-L10</f>
        <v/>
      </c>
    </row>
    <row r="11">
      <c r="A11" s="38" t="inlineStr">
        <is>
          <t>July</t>
        </is>
      </c>
      <c r="B11" s="38" t="n">
        <v>7</v>
      </c>
      <c r="C11" s="39" t="n">
        <v>45000</v>
      </c>
      <c r="D11" s="39" t="n">
        <v>50000</v>
      </c>
      <c r="E11" s="39">
        <f>C11+D11</f>
        <v/>
      </c>
      <c r="F11" s="39">
        <f>C11*0.03</f>
        <v/>
      </c>
      <c r="G11" s="39">
        <f>D11*0.35</f>
        <v/>
      </c>
      <c r="H11" s="39" t="n">
        <v>13900</v>
      </c>
      <c r="I11" s="39" t="n">
        <v>7220</v>
      </c>
      <c r="J11" s="39" t="n">
        <v>5000</v>
      </c>
      <c r="K11" s="39" t="n">
        <v>1660</v>
      </c>
      <c r="L11" s="39">
        <f>F11+G11+H11+I11+J11+K11</f>
        <v/>
      </c>
      <c r="M11" s="39">
        <f>E11-L11</f>
        <v/>
      </c>
    </row>
    <row r="12">
      <c r="A12" s="38" t="inlineStr">
        <is>
          <t>August</t>
        </is>
      </c>
      <c r="B12" s="38" t="n">
        <v>8</v>
      </c>
      <c r="C12" s="39" t="n">
        <v>45000</v>
      </c>
      <c r="D12" s="39" t="n">
        <v>50000</v>
      </c>
      <c r="E12" s="39">
        <f>C12+D12</f>
        <v/>
      </c>
      <c r="F12" s="39">
        <f>C12*0.03</f>
        <v/>
      </c>
      <c r="G12" s="39">
        <f>D12*0.35</f>
        <v/>
      </c>
      <c r="H12" s="39" t="n">
        <v>13900</v>
      </c>
      <c r="I12" s="39" t="n">
        <v>7220</v>
      </c>
      <c r="J12" s="39" t="n">
        <v>5000</v>
      </c>
      <c r="K12" s="39" t="n">
        <v>1660</v>
      </c>
      <c r="L12" s="39">
        <f>F12+G12+H12+I12+J12+K12</f>
        <v/>
      </c>
      <c r="M12" s="39">
        <f>E12-L12</f>
        <v/>
      </c>
    </row>
    <row r="13">
      <c r="A13" s="38" t="inlineStr">
        <is>
          <t>September</t>
        </is>
      </c>
      <c r="B13" s="38" t="n">
        <v>9</v>
      </c>
      <c r="C13" s="39" t="n">
        <v>45000</v>
      </c>
      <c r="D13" s="39" t="n">
        <v>50000</v>
      </c>
      <c r="E13" s="39">
        <f>C13+D13</f>
        <v/>
      </c>
      <c r="F13" s="39">
        <f>C13*0.03</f>
        <v/>
      </c>
      <c r="G13" s="39">
        <f>D13*0.35</f>
        <v/>
      </c>
      <c r="H13" s="39" t="n">
        <v>13900</v>
      </c>
      <c r="I13" s="39" t="n">
        <v>7220</v>
      </c>
      <c r="J13" s="39" t="n">
        <v>5000</v>
      </c>
      <c r="K13" s="39" t="n">
        <v>1660</v>
      </c>
      <c r="L13" s="39">
        <f>F13+G13+H13+I13+J13+K13</f>
        <v/>
      </c>
      <c r="M13" s="39">
        <f>E13-L13</f>
        <v/>
      </c>
    </row>
    <row r="14">
      <c r="A14" s="38" t="inlineStr">
        <is>
          <t>October</t>
        </is>
      </c>
      <c r="B14" s="38" t="n">
        <v>10</v>
      </c>
      <c r="C14" s="39" t="n">
        <v>45000</v>
      </c>
      <c r="D14" s="39" t="n">
        <v>50000</v>
      </c>
      <c r="E14" s="39">
        <f>C14+D14</f>
        <v/>
      </c>
      <c r="F14" s="39">
        <f>C14*0.03</f>
        <v/>
      </c>
      <c r="G14" s="39">
        <f>D14*0.35</f>
        <v/>
      </c>
      <c r="H14" s="39" t="n">
        <v>13900</v>
      </c>
      <c r="I14" s="39" t="n">
        <v>7220</v>
      </c>
      <c r="J14" s="39" t="n">
        <v>5000</v>
      </c>
      <c r="K14" s="39" t="n">
        <v>1660</v>
      </c>
      <c r="L14" s="39">
        <f>F14+G14+H14+I14+J14+K14</f>
        <v/>
      </c>
      <c r="M14" s="39">
        <f>E14-L14</f>
        <v/>
      </c>
    </row>
    <row r="15">
      <c r="A15" s="38" t="inlineStr">
        <is>
          <t>November</t>
        </is>
      </c>
      <c r="B15" s="38" t="n">
        <v>11</v>
      </c>
      <c r="C15" s="39" t="n">
        <v>45000</v>
      </c>
      <c r="D15" s="39" t="n">
        <v>50000</v>
      </c>
      <c r="E15" s="39">
        <f>C15+D15</f>
        <v/>
      </c>
      <c r="F15" s="39">
        <f>C15*0.03</f>
        <v/>
      </c>
      <c r="G15" s="39">
        <f>D15*0.35</f>
        <v/>
      </c>
      <c r="H15" s="39" t="n">
        <v>13900</v>
      </c>
      <c r="I15" s="39" t="n">
        <v>7220</v>
      </c>
      <c r="J15" s="39" t="n">
        <v>5000</v>
      </c>
      <c r="K15" s="39" t="n">
        <v>1660</v>
      </c>
      <c r="L15" s="39">
        <f>F15+G15+H15+I15+J15+K15</f>
        <v/>
      </c>
      <c r="M15" s="39">
        <f>E15-L15</f>
        <v/>
      </c>
    </row>
    <row r="16">
      <c r="A16" s="38" t="inlineStr">
        <is>
          <t>December</t>
        </is>
      </c>
      <c r="B16" s="38" t="n">
        <v>12</v>
      </c>
      <c r="C16" s="39" t="n">
        <v>45000</v>
      </c>
      <c r="D16" s="39" t="n">
        <v>50000</v>
      </c>
      <c r="E16" s="39">
        <f>C16+D16</f>
        <v/>
      </c>
      <c r="F16" s="39">
        <f>C16*0.03</f>
        <v/>
      </c>
      <c r="G16" s="39">
        <f>D16*0.35</f>
        <v/>
      </c>
      <c r="H16" s="39" t="n">
        <v>13900</v>
      </c>
      <c r="I16" s="39" t="n">
        <v>7220</v>
      </c>
      <c r="J16" s="39" t="n">
        <v>5000</v>
      </c>
      <c r="K16" s="39" t="n">
        <v>1660</v>
      </c>
      <c r="L16" s="39">
        <f>F16+G16+H16+I16+J16+K16</f>
        <v/>
      </c>
      <c r="M16" s="39">
        <f>E16-L16</f>
        <v/>
      </c>
    </row>
    <row r="17">
      <c r="A17" s="6" t="inlineStr">
        <is>
          <t>ANNUAL TOTAL</t>
        </is>
      </c>
      <c r="C17" s="40">
        <f>SUM(C5:C16)</f>
        <v/>
      </c>
      <c r="D17" s="40">
        <f>SUM(D5:D16)</f>
        <v/>
      </c>
      <c r="E17" s="40">
        <f>SUM(E5:E16)</f>
        <v/>
      </c>
      <c r="F17" s="40">
        <f>SUM(F5:F16)</f>
        <v/>
      </c>
      <c r="G17" s="40">
        <f>SUM(G5:G16)</f>
        <v/>
      </c>
      <c r="H17" s="40">
        <f>SUM(H5:H16)</f>
        <v/>
      </c>
      <c r="I17" s="40">
        <f>SUM(I5:I16)</f>
        <v/>
      </c>
      <c r="J17" s="40">
        <f>SUM(J5:J16)</f>
        <v/>
      </c>
      <c r="K17" s="40">
        <f>SUM(K5:K16)</f>
        <v/>
      </c>
      <c r="L17" s="40">
        <f>SUM(L5:L16)</f>
        <v/>
      </c>
      <c r="M17" s="40">
        <f>SUM(M5:M16)</f>
        <v/>
      </c>
    </row>
    <row r="18"/>
    <row r="19"/>
    <row r="20"/>
  </sheetData>
  <mergeCells count="2">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5" customWidth="1" min="1" max="1"/>
    <col width="15" customWidth="1" min="2" max="2"/>
    <col width="15" customWidth="1" min="3" max="3"/>
    <col width="15" customWidth="1" min="4" max="4"/>
  </cols>
  <sheetData>
    <row r="1">
      <c r="A1" s="35" t="inlineStr">
        <is>
          <t>SCENARIO COMPARISON SUMMARY</t>
        </is>
      </c>
    </row>
    <row r="3">
      <c r="A3" s="46" t="inlineStr">
        <is>
          <t>Metric</t>
        </is>
      </c>
      <c r="B3" s="46" t="inlineStr">
        <is>
          <t>Conservative</t>
        </is>
      </c>
      <c r="C3" s="46" t="inlineStr">
        <is>
          <t>Base</t>
        </is>
      </c>
      <c r="D3" s="46" t="inlineStr">
        <is>
          <t>Bull</t>
        </is>
      </c>
    </row>
    <row r="4">
      <c r="A4" s="38" t="inlineStr">
        <is>
          <t>Annual Spa Revenue</t>
        </is>
      </c>
      <c r="B4" s="39">
        <f>'Conservative P&amp;L'!C5*12</f>
        <v/>
      </c>
      <c r="C4" s="39">
        <f>'Base P&amp;L'!C5*12</f>
        <v/>
      </c>
      <c r="D4" s="39">
        <f>'Bull P&amp;L'!C5*12</f>
        <v/>
      </c>
    </row>
    <row r="5">
      <c r="A5" s="38" t="inlineStr">
        <is>
          <t>Annual Clinic Revenue</t>
        </is>
      </c>
      <c r="B5" s="39" t="n">
        <v>0</v>
      </c>
      <c r="C5" s="39">
        <f>SUM('Base P&amp;L'!D5:D16)</f>
        <v/>
      </c>
      <c r="D5" s="39">
        <f>SUM('Bull P&amp;L'!D5:D16)</f>
        <v/>
      </c>
    </row>
    <row r="6">
      <c r="A6" s="38" t="inlineStr">
        <is>
          <t>Total Annual Revenue</t>
        </is>
      </c>
      <c r="B6" s="39">
        <f>B4+B5</f>
        <v/>
      </c>
      <c r="C6" s="39">
        <f>C4+C5</f>
        <v/>
      </c>
      <c r="D6" s="39">
        <f>D4+D5</f>
        <v/>
      </c>
    </row>
    <row r="7">
      <c r="A7" s="38" t="inlineStr">
        <is>
          <t>Annual EBITDA</t>
        </is>
      </c>
      <c r="B7" s="39">
        <f>'Conservative P&amp;L'!M17</f>
        <v/>
      </c>
      <c r="C7" s="39">
        <f>'Base P&amp;L'!M17</f>
        <v/>
      </c>
      <c r="D7" s="39">
        <f>'Bull P&amp;L'!M17</f>
        <v/>
      </c>
    </row>
    <row r="8">
      <c r="A8" s="38" t="inlineStr">
        <is>
          <t>EBITDA Margin</t>
        </is>
      </c>
      <c r="B8" s="42">
        <f>B7/B6</f>
        <v/>
      </c>
      <c r="C8" s="42">
        <f>C7/C6</f>
        <v/>
      </c>
      <c r="D8" s="42">
        <f>D7/D6</f>
        <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5" customWidth="1" min="1" max="1"/>
    <col width="18" customWidth="1" min="2" max="2"/>
    <col width="18" customWidth="1" min="3" max="3"/>
    <col width="18" customWidth="1" min="4" max="4"/>
    <col width="18" customWidth="1" min="5" max="5"/>
  </cols>
  <sheetData>
    <row r="1">
      <c r="A1" s="35" t="inlineStr">
        <is>
          <t>IRR SENSITIVITY ANALYSIS</t>
        </is>
      </c>
    </row>
    <row r="2">
      <c r="A2" s="36" t="inlineStr">
        <is>
          <t>Internal Rate of Return across Capex Levels (€)</t>
        </is>
      </c>
    </row>
    <row r="4">
      <c r="A4" s="41" t="inlineStr">
        <is>
          <t>Capex</t>
        </is>
      </c>
      <c r="B4" s="41" t="inlineStr">
        <is>
          <t>Conservative Case</t>
        </is>
      </c>
      <c r="C4" s="41" t="inlineStr">
        <is>
          <t>Base Case</t>
        </is>
      </c>
      <c r="D4" s="41" t="inlineStr">
        <is>
          <t>Bull Case</t>
        </is>
      </c>
    </row>
    <row r="5">
      <c r="A5" s="39" t="n">
        <v>300000</v>
      </c>
      <c r="B5" s="42">
        <f>IRR({-300000,'Conservative P&amp;L'!M17,'Conservative P&amp;L'!M17,'Conservative P&amp;L'!M17,'Conservative P&amp;L'!M17,'Conservative P&amp;L'!M17})</f>
        <v/>
      </c>
      <c r="C5" s="42">
        <f>IRR({-300000,'Base P&amp;L'!M17,'Base P&amp;L'!M17,'Base P&amp;L'!M17,'Base P&amp;L'!M17,'Base P&amp;L'!M17})</f>
        <v/>
      </c>
      <c r="D5" s="42">
        <f>IRR({-300000,'Bull P&amp;L'!M17,'Bull P&amp;L'!M17,'Bull P&amp;L'!M17,'Bull P&amp;L'!M17,'Bull P&amp;L'!M17})</f>
        <v/>
      </c>
    </row>
    <row r="6">
      <c r="A6" s="39" t="n">
        <v>400000</v>
      </c>
      <c r="B6" s="42">
        <f>IRR({-400000,'Conservative P&amp;L'!M17,'Conservative P&amp;L'!M17,'Conservative P&amp;L'!M17,'Conservative P&amp;L'!M17,'Conservative P&amp;L'!M17})</f>
        <v/>
      </c>
      <c r="C6" s="42">
        <f>IRR({-400000,'Base P&amp;L'!M17,'Base P&amp;L'!M17,'Base P&amp;L'!M17,'Base P&amp;L'!M17,'Base P&amp;L'!M17})</f>
        <v/>
      </c>
      <c r="D6" s="42">
        <f>IRR({-400000,'Bull P&amp;L'!M17,'Bull P&amp;L'!M17,'Bull P&amp;L'!M17,'Bull P&amp;L'!M17,'Bull P&amp;L'!M17})</f>
        <v/>
      </c>
    </row>
    <row r="7">
      <c r="A7" s="39" t="n">
        <v>500000</v>
      </c>
      <c r="B7" s="42">
        <f>IRR({-500000,'Conservative P&amp;L'!M17,'Conservative P&amp;L'!M17,'Conservative P&amp;L'!M17,'Conservative P&amp;L'!M17,'Conservative P&amp;L'!M17})</f>
        <v/>
      </c>
      <c r="C7" s="42">
        <f>IRR({-500000,'Base P&amp;L'!M17,'Base P&amp;L'!M17,'Base P&amp;L'!M17,'Base P&amp;L'!M17,'Base P&amp;L'!M17})</f>
        <v/>
      </c>
      <c r="D7" s="42">
        <f>IRR({-500000,'Bull P&amp;L'!M17,'Bull P&amp;L'!M17,'Bull P&amp;L'!M17,'Bull P&amp;L'!M17,'Bull P&amp;L'!M17})</f>
        <v/>
      </c>
    </row>
    <row r="8">
      <c r="A8" s="39" t="n">
        <v>600000</v>
      </c>
      <c r="B8" s="42">
        <f>IRR({-600000,'Conservative P&amp;L'!M17,'Conservative P&amp;L'!M17,'Conservative P&amp;L'!M17,'Conservative P&amp;L'!M17,'Conservative P&amp;L'!M17})</f>
        <v/>
      </c>
      <c r="C8" s="42">
        <f>IRR({-600000,'Base P&amp;L'!M17,'Base P&amp;L'!M17,'Base P&amp;L'!M17,'Base P&amp;L'!M17,'Base P&amp;L'!M17})</f>
        <v/>
      </c>
      <c r="D8" s="42">
        <f>IRR({-600000,'Bull P&amp;L'!M17,'Bull P&amp;L'!M17,'Bull P&amp;L'!M17,'Bull P&amp;L'!M17,'Bull P&amp;L'!M17})</f>
        <v/>
      </c>
    </row>
    <row r="9">
      <c r="A9" s="39" t="n">
        <v>700000</v>
      </c>
      <c r="B9" s="42">
        <f>IRR({-700000,'Conservative P&amp;L'!M17,'Conservative P&amp;L'!M17,'Conservative P&amp;L'!M17,'Conservative P&amp;L'!M17,'Conservative P&amp;L'!M17})</f>
        <v/>
      </c>
      <c r="C9" s="42">
        <f>IRR({-700000,'Base P&amp;L'!M17,'Base P&amp;L'!M17,'Base P&amp;L'!M17,'Base P&amp;L'!M17,'Base P&amp;L'!M17})</f>
        <v/>
      </c>
      <c r="D9" s="42">
        <f>IRR({-700000,'Bull P&amp;L'!M17,'Bull P&amp;L'!M17,'Bull P&amp;L'!M17,'Bull P&amp;L'!M17,'Bull P&amp;L'!M17})</f>
        <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5" customWidth="1" min="1" max="1"/>
    <col width="18" customWidth="1" min="2" max="2"/>
    <col width="18" customWidth="1" min="3" max="3"/>
    <col width="18" customWidth="1" min="4" max="4"/>
    <col width="18" customWidth="1" min="5" max="5"/>
  </cols>
  <sheetData>
    <row r="1">
      <c r="A1" s="35" t="inlineStr">
        <is>
          <t>PAYBACK PERIOD SENSITIVITY ANALYSIS</t>
        </is>
      </c>
    </row>
    <row r="2">
      <c r="A2" s="36" t="inlineStr">
        <is>
          <t>Payback Period in Years across Capex Levels (€)</t>
        </is>
      </c>
    </row>
    <row r="4">
      <c r="A4" s="43" t="inlineStr">
        <is>
          <t>Capex</t>
        </is>
      </c>
      <c r="B4" s="43" t="inlineStr">
        <is>
          <t>Conservative Case</t>
        </is>
      </c>
      <c r="C4" s="43" t="inlineStr">
        <is>
          <t>Base Case</t>
        </is>
      </c>
      <c r="D4" s="43" t="inlineStr">
        <is>
          <t>Bull Case</t>
        </is>
      </c>
    </row>
    <row r="5">
      <c r="A5" s="39" t="n">
        <v>300000</v>
      </c>
      <c r="B5" s="44">
        <f>$300000/'Conservative P&amp;L'!M17</f>
        <v/>
      </c>
      <c r="C5" s="44">
        <f>$300000/'Base P&amp;L'!M17</f>
        <v/>
      </c>
      <c r="D5" s="44">
        <f>$300000/'Bull P&amp;L'!M17</f>
        <v/>
      </c>
    </row>
    <row r="6">
      <c r="A6" s="39" t="n">
        <v>400000</v>
      </c>
      <c r="B6" s="44">
        <f>$400000/'Conservative P&amp;L'!M17</f>
        <v/>
      </c>
      <c r="C6" s="44">
        <f>$400000/'Base P&amp;L'!M17</f>
        <v/>
      </c>
      <c r="D6" s="44">
        <f>$400000/'Bull P&amp;L'!M17</f>
        <v/>
      </c>
    </row>
    <row r="7">
      <c r="A7" s="39" t="n">
        <v>500000</v>
      </c>
      <c r="B7" s="44">
        <f>$500000/'Conservative P&amp;L'!M17</f>
        <v/>
      </c>
      <c r="C7" s="44">
        <f>$500000/'Base P&amp;L'!M17</f>
        <v/>
      </c>
      <c r="D7" s="44">
        <f>$500000/'Bull P&amp;L'!M17</f>
        <v/>
      </c>
    </row>
    <row r="8">
      <c r="A8" s="39" t="n">
        <v>600000</v>
      </c>
      <c r="B8" s="44">
        <f>$600000/'Conservative P&amp;L'!M17</f>
        <v/>
      </c>
      <c r="C8" s="44">
        <f>$600000/'Base P&amp;L'!M17</f>
        <v/>
      </c>
      <c r="D8" s="44">
        <f>$600000/'Bull P&amp;L'!M17</f>
        <v/>
      </c>
    </row>
    <row r="9">
      <c r="A9" s="39" t="n">
        <v>700000</v>
      </c>
      <c r="B9" s="44">
        <f>$700000/'Conservative P&amp;L'!M17</f>
        <v/>
      </c>
      <c r="C9" s="44">
        <f>$700000/'Base P&amp;L'!M17</f>
        <v/>
      </c>
      <c r="D9" s="44">
        <f>$700000/'Bull P&amp;L'!M17</f>
        <v/>
      </c>
    </row>
    <row r="12">
      <c r="A12" s="45" t="inlineStr">
        <is>
          <t>Note: Payback Period = Years to recover capex at current EBITDA</t>
        </is>
      </c>
    </row>
  </sheetData>
  <mergeCells count="3">
    <mergeCell ref="A2:F2"/>
    <mergeCell ref="A12:D1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5" customWidth="1" min="1" max="1"/>
    <col width="45" customWidth="1" min="2" max="2"/>
    <col width="40" customWidth="1" min="3" max="3"/>
  </cols>
  <sheetData>
    <row r="1">
      <c r="A1" s="1" t="inlineStr">
        <is>
          <t>NEGOTIATION STRATEGY &amp; KEY CONSIDERATIONS</t>
        </is>
      </c>
    </row>
    <row r="3">
      <c r="A3" s="14" t="inlineStr">
        <is>
          <t>CRITICAL PRINCIPLE:</t>
        </is>
      </c>
    </row>
    <row r="4">
      <c r="A4" s="15" t="inlineStr">
        <is>
          <t>Price the CURRENT business value, not your future potential. The clinic is YOUR advantage, not the seller's.</t>
        </is>
      </c>
    </row>
    <row r="6">
      <c r="A6" s="2" t="inlineStr">
        <is>
          <t>YOUR BATNA &amp; LEVERAGE POSITION</t>
        </is>
      </c>
    </row>
    <row r="7">
      <c r="A7" s="6" t="inlineStr">
        <is>
          <t>✓ You have zero urgency</t>
        </is>
      </c>
      <c r="B7" s="16" t="inlineStr">
        <is>
          <t>Seller reached out, not vice versa</t>
        </is>
      </c>
    </row>
    <row r="8">
      <c r="A8" s="6" t="inlineStr">
        <is>
          <t>✓ Business is currently loss-making</t>
        </is>
      </c>
      <c r="B8" s="16" t="inlineStr">
        <is>
          <t>At €8K+ rent, monthly EBITDA is negative (CURRENT STATE)</t>
        </is>
      </c>
    </row>
    <row r="9">
      <c r="A9" s="6" t="inlineStr">
        <is>
          <t>✓ Owner is disengaged</t>
        </is>
      </c>
      <c r="B9" s="16" t="inlineStr">
        <is>
          <t>Has not invested in operations for 2+ years</t>
        </is>
      </c>
    </row>
    <row r="10">
      <c r="A10" s="6" t="inlineStr">
        <is>
          <t>✓ Equipment is worth far less than capex</t>
        </is>
      </c>
      <c r="B10" s="16" t="inlineStr">
        <is>
          <t>Fair market value €150-200K vs €1M capex invested</t>
        </is>
      </c>
    </row>
    <row r="11">
      <c r="A11" s="6" t="inlineStr">
        <is>
          <t>✓ Lease is conditional on landlord approval</t>
        </is>
      </c>
      <c r="B11" s="16" t="inlineStr">
        <is>
          <t>Unknown if assignment is freely given or costs extra</t>
        </is>
      </c>
    </row>
    <row r="14">
      <c r="A14" s="2" t="inlineStr">
        <is>
          <t>KEY ARGUMENTS FOR LOWER PRICING</t>
        </is>
      </c>
    </row>
    <row r="15">
      <c r="A15" s="8" t="inlineStr">
        <is>
          <t>KILLER ARGUMENTS (Use First)</t>
        </is>
      </c>
    </row>
    <row r="16">
      <c r="A16" s="6" t="inlineStr">
        <is>
          <t>→ Sunk Cost Fallacy</t>
        </is>
      </c>
      <c r="B16" s="16" t="inlineStr">
        <is>
          <t>Your €1M investment is already gone. Selling doesn't create the loss—it STOPS additional losses.</t>
        </is>
      </c>
    </row>
    <row r="17">
      <c r="A17" s="6" t="inlineStr">
        <is>
          <t>→ Business Model is Negative at Current Rent</t>
        </is>
      </c>
      <c r="B17" s="16" t="inlineStr">
        <is>
          <t>At €8K rent, monthly EBITDA = -€850. This is a LOSS-MAKING business. No buyer prices a losing business above asset value.</t>
        </is>
      </c>
    </row>
    <row r="18">
      <c r="A18" s="6" t="inlineStr">
        <is>
          <t>→ Revenue Collapsed 50%</t>
        </is>
      </c>
      <c r="B18" s="16" t="inlineStr">
        <is>
          <t>Peak was €40-50K/month; now €20-25K. Why? What changed? Until you diagnose this, the business is high-risk.</t>
        </is>
      </c>
    </row>
    <row r="19">
      <c r="A19" s="6" t="inlineStr">
        <is>
          <t>→ Equipment Appraisal is Required</t>
        </is>
      </c>
      <c r="B19" s="16" t="inlineStr">
        <is>
          <t>Let's get independent valuation. FMV is likely €150-200K. This removes emotional guessing.</t>
        </is>
      </c>
    </row>
    <row r="22">
      <c r="A22" s="2" t="inlineStr">
        <is>
          <t>PRICE ANCHOR STRATEGY (Ackermann Sequence)</t>
        </is>
      </c>
    </row>
    <row r="23">
      <c r="A23" s="3" t="inlineStr">
        <is>
          <t>Stage</t>
        </is>
      </c>
      <c r="B23" s="3" t="inlineStr">
        <is>
          <t>Price</t>
        </is>
      </c>
      <c r="C23" s="3" t="inlineStr">
        <is>
          <t>Conditional Upon</t>
        </is>
      </c>
    </row>
    <row r="24">
      <c r="A24" t="inlineStr">
        <is>
          <t>1. Anchor (Opening)</t>
        </is>
      </c>
      <c r="B24" s="4" t="n">
        <v>40000</v>
      </c>
      <c r="C24" s="16" t="inlineStr">
        <is>
          <t>No conditions - establish opening range</t>
        </is>
      </c>
    </row>
    <row r="25">
      <c r="A25" t="inlineStr">
        <is>
          <t>2. Move 1</t>
        </is>
      </c>
      <c r="B25" s="4" t="n">
        <v>70000</v>
      </c>
      <c r="C25" s="16" t="inlineStr">
        <is>
          <t>+ Equipment appraisal + Landlord assignment confirmation</t>
        </is>
      </c>
    </row>
    <row r="26">
      <c r="A26" t="inlineStr">
        <is>
          <t>3. Move 2</t>
        </is>
      </c>
      <c r="B26" s="4" t="n">
        <v>100000</v>
      </c>
      <c r="C26" s="16" t="inlineStr">
        <is>
          <t>+ 24-month P&amp;L documentation + Revenue decline diagnosis</t>
        </is>
      </c>
    </row>
    <row r="27">
      <c r="A27" t="inlineStr">
        <is>
          <t>4. Move 3</t>
        </is>
      </c>
      <c r="B27" s="4" t="n">
        <v>125000</v>
      </c>
      <c r="C27" s="16" t="inlineStr">
        <is>
          <t>"We're very close" conversation</t>
        </is>
      </c>
    </row>
    <row r="28">
      <c r="A28" t="inlineStr">
        <is>
          <t>5. Final</t>
        </is>
      </c>
      <c r="B28" s="4" t="n">
        <v>150000</v>
      </c>
      <c r="C28" s="16" t="inlineStr">
        <is>
          <t>+ 45-day close + Indemnification + Mutual legal fees</t>
        </is>
      </c>
    </row>
    <row r="31">
      <c r="A31" s="2" t="inlineStr">
        <is>
          <t>POWER SCRIPTS (Exact Phrasing)</t>
        </is>
      </c>
    </row>
    <row r="32">
      <c r="A32" s="6" t="inlineStr">
        <is>
          <t>On Sunk Cost</t>
        </is>
      </c>
      <c r="B32" s="17" t="inlineStr">
        <is>
          <t>"I understand completely why you look at what was put into this place and feel the number should reflect that. But the market—any buyer—asks one question: what does this business earn TODAY? Not what it cost to build. That's just how acquisitions are priced."</t>
        </is>
      </c>
    </row>
    <row r="33">
      <c r="A33" s="6" t="inlineStr">
        <is>
          <t>On Revenue Decline</t>
        </is>
      </c>
      <c r="B33" s="17" t="inlineStr">
        <is>
          <t>"The revenue is down 50% from peak. My job is to understand why. That's not criticism; it's risk assessment. Until we diagnose it, every buyer assumes it's structural. Let's pull 24 months of P&amp;L together and talk about it."</t>
        </is>
      </c>
    </row>
    <row r="34">
      <c r="A34" s="6" t="inlineStr">
        <is>
          <t>On Equipment</t>
        </is>
      </c>
      <c r="B34" s="17" t="inlineStr">
        <is>
          <t>"Let's get a neutral third-party equipment appraisal. It protects both of us. If it comes back higher than my estimate, we adjust. Fair?"</t>
        </is>
      </c>
    </row>
    <row r="35">
      <c r="A35" s="6" t="inlineStr">
        <is>
          <t>Closing Technique</t>
        </is>
      </c>
      <c r="B35" s="17" t="inlineStr">
        <is>
          <t>"It sounds like if we land somewhere around [TARGET], we'd have a deal. Am I reading that right?"</t>
        </is>
      </c>
    </row>
    <row r="38">
      <c r="A38" s="2" t="inlineStr">
        <is>
          <t>RED LINES (Walk Away If...)</t>
        </is>
      </c>
    </row>
    <row r="39">
      <c r="A39" s="16" t="inlineStr">
        <is>
          <t>1. Rent &gt; €10K/month AND seller demands &gt; €250K</t>
        </is>
      </c>
    </row>
    <row r="40">
      <c r="A40" s="16" t="inlineStr">
        <is>
          <t>2. Undisclosed equipment financing or business debts</t>
        </is>
      </c>
    </row>
    <row r="41">
      <c r="A41" s="16" t="inlineStr">
        <is>
          <t>3. Landlord consent uncertain or will cost material premium (&gt;€5K)</t>
        </is>
      </c>
    </row>
    <row r="42">
      <c r="A42" s="16" t="inlineStr">
        <is>
          <t>4. Revenue significantly below stated (&gt;20% variance)</t>
        </is>
      </c>
    </row>
    <row r="43">
      <c r="A43" s="16" t="inlineStr">
        <is>
          <t>5. Unresolved Numi legal complications</t>
        </is>
      </c>
    </row>
    <row r="44">
      <c r="A44" s="16" t="inlineStr">
        <is>
          <t>6. After 3 Ackermann moves, seller still anchored &gt; €200K without movement</t>
        </is>
      </c>
    </row>
    <row r="47">
      <c r="A47" s="2" t="inlineStr">
        <is>
          <t>MEETING PROTOCOL (4 ACTS)</t>
        </is>
      </c>
    </row>
    <row r="48">
      <c r="A48" s="6" t="inlineStr">
        <is>
          <t>ACT 1: Intelligence (20-30 min)</t>
        </is>
      </c>
      <c r="B48" s="16" t="inlineStr">
        <is>
          <t>Ask 5 questions: biggest challenge? Monthly picture? Success looks like? Timeframe? Other conversations? REVEAL NOTHING.</t>
        </is>
      </c>
    </row>
    <row r="49">
      <c r="A49" s="6" t="inlineStr">
        <is>
          <t>ACT 2: Reframe (20-30 min)</t>
        </is>
      </c>
      <c r="B49" s="16" t="inlineStr">
        <is>
          <t>Introduce equipment appraisal. Present EBITDA framework. Redirect from sunk cost to forward earnings.</t>
        </is>
      </c>
    </row>
    <row r="50">
      <c r="A50" s="6" t="inlineStr">
        <is>
          <t>ACT 3: The Offer (20-30 min)</t>
        </is>
      </c>
      <c r="B50" s="16" t="inlineStr">
        <is>
          <t>Drop anchor €40K. Hold silence. Use Ackermann sequence. React with questions, not counter-offers.</t>
        </is>
      </c>
    </row>
    <row r="51">
      <c r="A51" s="6" t="inlineStr">
        <is>
          <t>ACT 4: Close or Exit (10-15 min)</t>
        </is>
      </c>
      <c r="B51" s="16" t="inlineStr">
        <is>
          <t>Trial close OR graceful exit. NEVER close today. "Every month has a cost. I'll be in touch in a few days."</t>
        </is>
      </c>
    </row>
    <row r="54">
      <c r="A54" s="2" t="inlineStr">
        <is>
          <t>CRITICAL DUE DILIGENCE ITEMS (Before Price Agreement)</t>
        </is>
      </c>
    </row>
    <row r="55">
      <c r="A55" s="16" t="inlineStr">
        <is>
          <t>☐ 24-month P&amp;L statements (month-by-month)</t>
        </is>
      </c>
    </row>
    <row r="56">
      <c r="A56" s="16" t="inlineStr">
        <is>
          <t>☐ 24-month bank statements (verify revenue)</t>
        </is>
      </c>
    </row>
    <row r="57">
      <c r="A57" s="16" t="inlineStr">
        <is>
          <t>☐ Full lease agreement &amp; landlord assignment clause</t>
        </is>
      </c>
    </row>
    <row r="58">
      <c r="A58" s="16" t="inlineStr">
        <is>
          <t>☐ Landlord written confirmation of assignment willingness</t>
        </is>
      </c>
    </row>
    <row r="59">
      <c r="A59" s="16" t="inlineStr">
        <is>
          <t>☐ Equipment inventory + service records</t>
        </is>
      </c>
    </row>
    <row r="60">
      <c r="A60" s="16" t="inlineStr">
        <is>
          <t>☐ Any equipment financing agreements or liens</t>
        </is>
      </c>
    </row>
    <row r="61">
      <c r="A61" s="16" t="inlineStr">
        <is>
          <t>☐ Staff contracts &amp; payroll records (2 years)</t>
        </is>
      </c>
    </row>
    <row r="62">
      <c r="A62" s="16" t="inlineStr">
        <is>
          <t>☐ Numi separation agreement (written confirmation)</t>
        </is>
      </c>
    </row>
    <row r="63">
      <c r="A63" s="16" t="inlineStr">
        <is>
          <t>☐ VAT compliance - last 8 quarters</t>
        </is>
      </c>
    </row>
    <row r="64">
      <c r="A64" s="16" t="inlineStr">
        <is>
          <t>☐ Outstanding creditor schedule</t>
        </is>
      </c>
    </row>
    <row r="65">
      <c r="A65" s="16" t="inlineStr">
        <is>
          <t>☐ Any pending legal claims</t>
        </is>
      </c>
    </row>
  </sheetData>
  <mergeCells count="42">
    <mergeCell ref="A41:C41"/>
    <mergeCell ref="B16:C16"/>
    <mergeCell ref="B7:C7"/>
    <mergeCell ref="A56:C56"/>
    <mergeCell ref="A3:C3"/>
    <mergeCell ref="A55:C55"/>
    <mergeCell ref="B18:C18"/>
    <mergeCell ref="C28"/>
    <mergeCell ref="A57:C57"/>
    <mergeCell ref="A42:C42"/>
    <mergeCell ref="B48:C48"/>
    <mergeCell ref="B11:C11"/>
    <mergeCell ref="A62:C62"/>
    <mergeCell ref="C24"/>
    <mergeCell ref="B17:C17"/>
    <mergeCell ref="A4:C4"/>
    <mergeCell ref="B8:C8"/>
    <mergeCell ref="A43:C43"/>
    <mergeCell ref="A63:C63"/>
    <mergeCell ref="A44:C44"/>
    <mergeCell ref="C26"/>
    <mergeCell ref="B19:C19"/>
    <mergeCell ref="B34:C34"/>
    <mergeCell ref="B10:C10"/>
    <mergeCell ref="A58:C58"/>
    <mergeCell ref="A40:C40"/>
    <mergeCell ref="C25"/>
    <mergeCell ref="A39:C39"/>
    <mergeCell ref="B9:C9"/>
    <mergeCell ref="A59:C59"/>
    <mergeCell ref="B49:C49"/>
    <mergeCell ref="B35:C35"/>
    <mergeCell ref="A64:C64"/>
    <mergeCell ref="A60:C60"/>
    <mergeCell ref="B33:C33"/>
    <mergeCell ref="A1:C1"/>
    <mergeCell ref="B51:C51"/>
    <mergeCell ref="A61:C61"/>
    <mergeCell ref="B32:C32"/>
    <mergeCell ref="B50:C50"/>
    <mergeCell ref="A65:C65"/>
    <mergeCell ref="C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317"/>
  <sheetViews>
    <sheetView workbookViewId="0">
      <selection activeCell="A1" sqref="A1"/>
    </sheetView>
  </sheetViews>
  <sheetFormatPr baseColWidth="8" defaultRowHeight="15"/>
  <cols>
    <col width="180" customWidth="1" min="1" max="1"/>
  </cols>
  <sheetData>
    <row r="1" ht="15" customHeight="1">
      <c r="A1" s="34" t="inlineStr">
        <is>
          <t># INA Spa Malta — Negotiation Briefing</t>
        </is>
      </c>
    </row>
    <row r="2" ht="15" customHeight="1">
      <c r="A2" s="34" t="inlineStr">
        <is>
          <t>## Prepared for Meeting with Seller</t>
        </is>
      </c>
    </row>
    <row r="4" ht="15" customHeight="1">
      <c r="A4" s="34" t="inlineStr">
        <is>
          <t>**Date:** February 22, 2026</t>
        </is>
      </c>
    </row>
    <row r="5" ht="15" customHeight="1">
      <c r="A5" s="34" t="inlineStr">
        <is>
          <t>**Venue:** [TBD]</t>
        </is>
      </c>
    </row>
    <row r="6" ht="15" customHeight="1">
      <c r="A6" s="34" t="inlineStr">
        <is>
          <t>**Duration:** 90 minutes (4 acts)</t>
        </is>
      </c>
    </row>
    <row r="7" ht="15" customHeight="1">
      <c r="A7" s="34" t="inlineStr">
        <is>
          <t>**Objective:** Acquire lease + equipment + operations at optimal price through disciplined negotiation</t>
        </is>
      </c>
    </row>
    <row r="9" ht="15" customHeight="1">
      <c r="A9" s="34" t="inlineStr">
        <is>
          <t>---</t>
        </is>
      </c>
    </row>
    <row r="11" ht="15" customHeight="1">
      <c r="A11" s="34" t="inlineStr">
        <is>
          <t>## Your Position at a Glance</t>
        </is>
      </c>
    </row>
    <row r="13" ht="15" customHeight="1">
      <c r="A13" s="34" t="inlineStr">
        <is>
          <t>| Metric | Your Reality | Seller's Perception |</t>
        </is>
      </c>
    </row>
    <row r="14" ht="15" customHeight="1">
      <c r="A14" s="34" t="inlineStr">
        <is>
          <t>|---|---|---|</t>
        </is>
      </c>
    </row>
    <row r="15" ht="15" customHeight="1">
      <c r="A15" s="34" t="inlineStr">
        <is>
          <t>| **Current Revenue** | €30K/month spa (conservative baseline) | €20-25K/month (down from peak) |</t>
        </is>
      </c>
    </row>
    <row r="16" ht="15" customHeight="1">
      <c r="A16" s="34" t="inlineStr">
        <is>
          <t>| **Current EBITDA** | €123.4K/year (Base Case with clinic ramp) | ~€86K/year (at mid-rent) |</t>
        </is>
      </c>
    </row>
    <row r="17" ht="15" customHeight="1">
      <c r="A17" s="34" t="inlineStr">
        <is>
          <t>| **Your Advantage** | Clinic already operational. Can scale 3-6x faster. | Burned €1M capex. Losing money monthly. |</t>
        </is>
      </c>
    </row>
    <row r="18" ht="15" customHeight="1">
      <c r="A18" s="34" t="inlineStr">
        <is>
          <t>| **Time Pressure** | Zero urgency. Buyer with optionality. | **High** — bleeding cash. Reached out to you. |</t>
        </is>
      </c>
    </row>
    <row r="19" ht="15" customHeight="1">
      <c r="A19" s="34" t="inlineStr">
        <is>
          <t>| **Power Dynamic** | You're evaluating. Haven't decided. | They're motivated to exit. |</t>
        </is>
      </c>
    </row>
    <row r="20" ht="15" customHeight="1">
      <c r="A20" s="34" t="inlineStr">
        <is>
          <t>| **Information Asymmetry** | You know your clinic model works. You captured value. | Doesn't know you'll scale clinic to €45-50K/month. |</t>
        </is>
      </c>
    </row>
    <row r="22" ht="15" customHeight="1">
      <c r="A22" s="34" t="inlineStr">
        <is>
          <t>---</t>
        </is>
      </c>
    </row>
    <row r="24" ht="15" customHeight="1">
      <c r="A24" s="34" t="inlineStr">
        <is>
          <t>## The Three Numbers for This Meeting</t>
        </is>
      </c>
    </row>
    <row r="26" ht="15" customHeight="1">
      <c r="A26" s="34" t="inlineStr">
        <is>
          <t>| Price | Amount | Why This Number | Your Talking Point |</t>
        </is>
      </c>
    </row>
    <row r="27" ht="15" customHeight="1">
      <c r="A27" s="34" t="inlineStr">
        <is>
          <t>|---|---|---|---|</t>
        </is>
      </c>
    </row>
    <row r="28" ht="15" customHeight="1">
      <c r="A28" s="34" t="inlineStr">
        <is>
          <t>| **Anchor (Open)** | **€45,000** | Loss-making at mid-rent. Equipment only at distressed FMV. | "Let me walk you through the current math..." |</t>
        </is>
      </c>
    </row>
    <row r="29" ht="15" customHeight="1">
      <c r="A29" s="34" t="inlineStr">
        <is>
          <t>| **Target (Close)** | **€120,000** | 0.97x current annual EBITDA. Fair lease assumption. | "If we can land around here, I think we have a deal." |</t>
        </is>
      </c>
    </row>
    <row r="30" ht="15" customHeight="1">
      <c r="A30" s="34" t="inlineStr">
        <is>
          <t>| **Walk-Away (Internal)** | **€200,000** | Only if: rent ≤€5.5K confirmed, no liabilities, assignment approved. | *Never disclose. Exit if exceeded.* |</t>
        </is>
      </c>
    </row>
    <row r="32" ht="15" customHeight="1">
      <c r="A32" s="34" t="inlineStr">
        <is>
          <t>---</t>
        </is>
      </c>
    </row>
    <row r="34" ht="15" customHeight="1">
      <c r="A34" s="34" t="inlineStr">
        <is>
          <t>## Your Financial Story (Act 2: The Reframe)</t>
        </is>
      </c>
    </row>
    <row r="36" ht="15" customHeight="1">
      <c r="A36" s="34" t="inlineStr">
        <is>
          <t>**The Current Business Reality:**</t>
        </is>
      </c>
    </row>
    <row r="38" ht="15" customHeight="1">
      <c r="A38" s="34" t="inlineStr">
        <is>
          <t>```</t>
        </is>
      </c>
    </row>
    <row r="39" ht="15" customHeight="1">
      <c r="A39" s="34" t="inlineStr">
        <is>
          <t>Current Situation (What Seller Made)</t>
        </is>
      </c>
    </row>
    <row r="40" ht="15" customHeight="1">
      <c r="A40" s="34" t="inlineStr">
        <is>
          <t>━━━━━━━━━━━━━━━━━━━━━━━━━━━━━━━━━━━━━━━━━━━━</t>
        </is>
      </c>
    </row>
    <row r="41" ht="15" customHeight="1">
      <c r="A41" s="34" t="inlineStr">
        <is>
          <t>Annual Spa Revenue:              €360,000</t>
        </is>
      </c>
    </row>
    <row r="42" ht="15" customHeight="1">
      <c r="A42" s="34" t="inlineStr">
        <is>
          <t>Less: Payroll (spa only)        (€166,800)</t>
        </is>
      </c>
    </row>
    <row r="43" ht="15" customHeight="1">
      <c r="A43" s="34" t="inlineStr">
        <is>
          <t>Less: Non-payroll OpEx          (€109,480)  [includes rent, utilities, COGS]</t>
        </is>
      </c>
    </row>
    <row r="44" ht="15" customHeight="1">
      <c r="A44" s="34" t="inlineStr">
        <is>
          <t>─────────────────────────────────────────</t>
        </is>
      </c>
    </row>
    <row r="45" ht="15" customHeight="1">
      <c r="A45" s="34" t="inlineStr">
        <is>
          <t>Annual EBITDA (Spa Only):        €83,720</t>
        </is>
      </c>
    </row>
    <row r="47" ht="15" customHeight="1">
      <c r="A47" s="34" t="inlineStr">
        <is>
          <t>But EBITDA at mid-rent (€8K/mo):</t>
        </is>
      </c>
    </row>
    <row r="48" ht="15" customHeight="1">
      <c r="A48" s="34" t="inlineStr">
        <is>
          <t>Revenue:                         €360,000</t>
        </is>
      </c>
    </row>
    <row r="49" ht="15" customHeight="1">
      <c r="A49" s="34" t="inlineStr">
        <is>
          <t>Less: Payroll                   (€166,800)</t>
        </is>
      </c>
    </row>
    <row r="50" ht="15" customHeight="1">
      <c r="A50" s="34" t="inlineStr">
        <is>
          <t>Less: OpEx (incl. €96K rent)    (€109,480)</t>
        </is>
      </c>
    </row>
    <row r="51" ht="15" customHeight="1">
      <c r="A51" s="34" t="inlineStr">
        <is>
          <t>─────────────────────────────────────────</t>
        </is>
      </c>
    </row>
    <row r="52" ht="15" customHeight="1">
      <c r="A52" s="34" t="inlineStr">
        <is>
          <t>Annual EBITDA:                   €83,720</t>
        </is>
      </c>
    </row>
    <row r="54" ht="15" customHeight="1">
      <c r="A54" s="34" t="inlineStr">
        <is>
          <t>At €12K rent (if that's what's happening):</t>
        </is>
      </c>
    </row>
    <row r="55" ht="15" customHeight="1">
      <c r="A55" s="34" t="inlineStr">
        <is>
          <t>Annual Loss:                     (€24,480)  ← This is the problem</t>
        </is>
      </c>
    </row>
    <row r="56" ht="15" customHeight="1">
      <c r="A56" s="34" t="inlineStr">
        <is>
          <t>```</t>
        </is>
      </c>
    </row>
    <row r="58" ht="15" customHeight="1">
      <c r="A58" s="34" t="inlineStr">
        <is>
          <t>**Your Position:**</t>
        </is>
      </c>
    </row>
    <row r="59" ht="15" customHeight="1">
      <c r="A59" s="34" t="inlineStr">
        <is>
          <t>&gt; "The business as it sits today isn't generating the returns you need. At current revenue levels, the rent structure is the challenge. I'm not interested in buying a loss-making business — I'm interested in fixing the business model. That's the difference between what you paid to build it and what a buyer pays to operate it."</t>
        </is>
      </c>
    </row>
    <row r="61" ht="15" customHeight="1">
      <c r="A61" s="34" t="inlineStr">
        <is>
          <t>---</t>
        </is>
      </c>
    </row>
    <row r="63" ht="15" customHeight="1">
      <c r="A63" s="34" t="inlineStr">
        <is>
          <t>## The Ackermann Concession Sequence (Your €120K Target)</t>
        </is>
      </c>
    </row>
    <row r="65" ht="15" customHeight="1">
      <c r="A65" s="34" t="inlineStr">
        <is>
          <t>| Move | % of Target | Amount | Triggers | Script |</t>
        </is>
      </c>
    </row>
    <row r="66" ht="15" customHeight="1">
      <c r="A66" s="34" t="inlineStr">
        <is>
          <t>|---|---|---|---|---|</t>
        </is>
      </c>
    </row>
    <row r="67" ht="15" customHeight="1">
      <c r="A67" s="34" t="inlineStr">
        <is>
          <t>| **Anchor** | — | **€45,000** | Opening statement | "Based on current revenue and standard equipment FMV, I'm thinking €45 to €50 thousand." [Silence] |</t>
        </is>
      </c>
    </row>
    <row r="68" ht="15" customHeight="1">
      <c r="A68" s="34" t="inlineStr">
        <is>
          <t>| **Move 1** | 60% | **€72,000** | ✓ Equipment appraisal underway ✓ Landlord assignment looks positive | "Equipment appraisal is coming in stronger than I expected, and the landlord gave positive signals. This moves the range..." |</t>
        </is>
      </c>
    </row>
    <row r="69" ht="15" customHeight="1">
      <c r="A69" s="34" t="inlineStr">
        <is>
          <t>| **Move 2** | 80% | **€96,000** | ✓ 24-month P&amp;L confirmed ✓ No undisclosed liabilities ✓ Numi separation clear | "Numbers are clean. No surprises. The clarity on your numbers actually helps us here..." |</t>
        </is>
      </c>
    </row>
    <row r="70" ht="15" customHeight="1">
      <c r="A70" s="34" t="inlineStr">
        <is>
          <t>| **Move 3** | 95% | **€114,000** | ✓ Landlord approval in writing ✓ All equipment accounted for | "We're very close. What gets us across the finish line?" [Listen for conditions] |</t>
        </is>
      </c>
    </row>
    <row r="71" ht="15" customHeight="1">
      <c r="A71" s="34" t="inlineStr">
        <is>
          <t>| **Final** | 100% | **€119,750** | ✓ 45-day close confirmed ✓ Liability indemnification ✓ Equipment list final | "€119,750. Non-contingent. Clean close in 45 days. Are we done?" |</t>
        </is>
      </c>
    </row>
    <row r="73" ht="15" customHeight="1">
      <c r="A73" s="34" t="inlineStr">
        <is>
          <t>**Key Rules for This Sequence:**</t>
        </is>
      </c>
    </row>
    <row r="74" ht="15" customHeight="1">
      <c r="A74" s="34" t="inlineStr">
        <is>
          <t>- Each move is **smaller than the last** (€27K → €24K → €18K → €5.75K)</t>
        </is>
      </c>
    </row>
    <row r="75" ht="15" customHeight="1">
      <c r="A75" s="34" t="inlineStr">
        <is>
          <t>- Each move is **conditional** — attach real criteria, not arbitrary</t>
        </is>
      </c>
    </row>
    <row r="76" ht="15" customHeight="1">
      <c r="A76" s="34" t="inlineStr">
        <is>
          <t>- Final number is **intentionally non-round** (€119,750 not €120K) — signals precision, not more room</t>
        </is>
      </c>
    </row>
    <row r="77" ht="15" customHeight="1">
      <c r="A77" s="34" t="inlineStr">
        <is>
          <t>- **Hold silence after each anchor.** Do not negotiate against yourself.</t>
        </is>
      </c>
    </row>
    <row r="79" ht="15" customHeight="1">
      <c r="A79" s="34" t="inlineStr">
        <is>
          <t>---</t>
        </is>
      </c>
    </row>
    <row r="81" ht="15" customHeight="1">
      <c r="A81" s="34" t="inlineStr">
        <is>
          <t>## Act 1: Intelligence Gathering (20-30 min)</t>
        </is>
      </c>
    </row>
    <row r="83" ht="15" customHeight="1">
      <c r="A83" s="34" t="inlineStr">
        <is>
          <t>**Goal:** Learn everything without revealing your playbook.</t>
        </is>
      </c>
    </row>
    <row r="85" ht="15" customHeight="1">
      <c r="A85" s="34" t="inlineStr">
        <is>
          <t>**Your 5 Questions (in order — stick to this sequence):**</t>
        </is>
      </c>
    </row>
    <row r="87" ht="15" customHeight="1">
      <c r="A87" s="34" t="inlineStr">
        <is>
          <t>1. **"What's been the biggest challenge since the Numi situation ended?"**</t>
        </is>
      </c>
    </row>
    <row r="88" ht="15" customHeight="1">
      <c r="A88" s="34" t="inlineStr">
        <is>
          <t xml:space="preserve">   - *Why:* Discover his pain points, emotional state, urgency</t>
        </is>
      </c>
    </row>
    <row r="89" ht="15" customHeight="1">
      <c r="A89" s="34" t="inlineStr">
        <is>
          <t xml:space="preserve">   - *Listen for:* Cash burn, competitive threats, operational issues</t>
        </is>
      </c>
    </row>
    <row r="90" ht="15" customHeight="1">
      <c r="A90" s="34" t="inlineStr">
        <is>
          <t xml:space="preserve">   - *Your note:* This tells you his real walk-away number</t>
        </is>
      </c>
    </row>
    <row r="92" ht="15" customHeight="1">
      <c r="A92" s="34" t="inlineStr">
        <is>
          <t>2. **"What does the monthly picture look like — is it covering its costs?"**</t>
        </is>
      </c>
    </row>
    <row r="93" ht="15" customHeight="1">
      <c r="A93" s="34" t="inlineStr">
        <is>
          <t xml:space="preserve">   - *Why:* Confirm revenue vs. your assumptions. Get him to admit losses.</t>
        </is>
      </c>
    </row>
    <row r="94" ht="15" customHeight="1">
      <c r="A94" s="34" t="inlineStr">
        <is>
          <t xml:space="preserve">   - *Listen for:* Honesty about €20-25K revenue, rent level, payroll challenges</t>
        </is>
      </c>
    </row>
    <row r="95" ht="15" customHeight="1">
      <c r="A95" s="34" t="inlineStr">
        <is>
          <t xml:space="preserve">   - *Your note:* If he says it's breaking even, he's either lying or costs are lower than you think</t>
        </is>
      </c>
    </row>
    <row r="97" ht="15" customHeight="1">
      <c r="A97" s="34" t="inlineStr">
        <is>
          <t>3. **"What would a successful resolution look like for you personally?"**</t>
        </is>
      </c>
    </row>
    <row r="98" ht="15" customHeight="1">
      <c r="A98" s="34" t="inlineStr">
        <is>
          <t xml:space="preserve">   - *Why:* Uncover what "win" means to him (clean exit? Preservation of brand? Employee protection?)</t>
        </is>
      </c>
    </row>
    <row r="99" ht="15" customHeight="1">
      <c r="A99" s="34" t="inlineStr">
        <is>
          <t xml:space="preserve">   - *Listen for:* Values beyond just price. Time pressure. Ego protection.</t>
        </is>
      </c>
    </row>
    <row r="100" ht="15" customHeight="1">
      <c r="A100" s="34" t="inlineStr">
        <is>
          <t xml:space="preserve">   - *Your note:* This is where you find leverage beyond money</t>
        </is>
      </c>
    </row>
    <row r="102" ht="15" customHeight="1">
      <c r="A102" s="34" t="inlineStr">
        <is>
          <t>4. **"What's your ideal timeframe?"**</t>
        </is>
      </c>
    </row>
    <row r="103" ht="15" customHeight="1">
      <c r="A103" s="34" t="inlineStr">
        <is>
          <t xml:space="preserve">   - *Why:* Establish urgency. Every month costs him €1-2K in losses.</t>
        </is>
      </c>
    </row>
    <row r="104" ht="15" customHeight="1">
      <c r="A104" s="34" t="inlineStr">
        <is>
          <t xml:space="preserve">   - *Listen for:* "ASAP," "by Q1," "within 60 days" = high motivation</t>
        </is>
      </c>
    </row>
    <row r="105" ht="15" customHeight="1">
      <c r="A105" s="34" t="inlineStr">
        <is>
          <t xml:space="preserve">   - *Your note:* Use timeline as concession trade (e.g., "I can close faster if we land on price")</t>
        </is>
      </c>
    </row>
    <row r="107" ht="15" customHeight="1">
      <c r="A107" s="34" t="inlineStr">
        <is>
          <t>5. **"Have you had other conversations with interested parties?"**</t>
        </is>
      </c>
    </row>
    <row r="108" ht="15" customHeight="1">
      <c r="A108" s="34" t="inlineStr">
        <is>
          <t xml:space="preserve">   - *Why:* Gauge competition. Single buyer = more leverage for you.</t>
        </is>
      </c>
    </row>
    <row r="109" ht="15" customHeight="1">
      <c r="A109" s="34" t="inlineStr">
        <is>
          <t xml:space="preserve">   - *Listen for:* "Just exploratory," "nothing serious," "you're the first serious one" = zero competition</t>
        </is>
      </c>
    </row>
    <row r="110" ht="15" customHeight="1">
      <c r="A110" s="34" t="inlineStr">
        <is>
          <t xml:space="preserve">   - *Your note:* If there are others, you need to move. If not, you have time.</t>
        </is>
      </c>
    </row>
    <row r="112" ht="15" customHeight="1">
      <c r="A112" s="34" t="inlineStr">
        <is>
          <t>**Tactical Moves During Act 1:**</t>
        </is>
      </c>
    </row>
    <row r="113" ht="15" customHeight="1">
      <c r="A113" s="34" t="inlineStr">
        <is>
          <t>- **Mirror:** He says "revenue dropped 40%." You: "Revenue dropped 40%?" [silence, let him elaborate]</t>
        </is>
      </c>
    </row>
    <row r="114" ht="15" customHeight="1">
      <c r="A114" s="34" t="inlineStr">
        <is>
          <t>- **Label emotions:** "It sounds like you're frustrated with how much capital got tied up."</t>
        </is>
      </c>
    </row>
    <row r="115" ht="15" customHeight="1">
      <c r="A115" s="34" t="inlineStr">
        <is>
          <t>- **Calibrated question:** "How am I supposed to make sense of the investment you put in vs. what the market will pay for it?"</t>
        </is>
      </c>
    </row>
    <row r="117" ht="15" customHeight="1">
      <c r="A117" s="34" t="inlineStr">
        <is>
          <t>---</t>
        </is>
      </c>
    </row>
    <row r="119" ht="15" customHeight="1">
      <c r="A119" s="34" t="inlineStr">
        <is>
          <t>## Act 2: Reframe Value (20-30 min)</t>
        </is>
      </c>
    </row>
    <row r="121" ht="15" customHeight="1">
      <c r="A121" s="34" t="inlineStr">
        <is>
          <t>**Goal:** Redirect from sunk cost ("I invested €1M") to forward earnings ("This business generates €84K EBITDA").</t>
        </is>
      </c>
    </row>
    <row r="123" ht="15" customHeight="1">
      <c r="A123" s="34" t="inlineStr">
        <is>
          <t>**Your Three-Part Script:**</t>
        </is>
      </c>
    </row>
    <row r="125" ht="15" customHeight="1">
      <c r="A125" s="34" t="inlineStr">
        <is>
          <t>**Part A: Acknowledge the Sunk Cost (Empathy)**</t>
        </is>
      </c>
    </row>
    <row r="126" ht="15" customHeight="1">
      <c r="A126" s="34" t="inlineStr">
        <is>
          <t>&gt; "I get it. You've invested real capital—€1M—into this space. I can see why you'd look at that number and feel the price should reflect it. You put in the work, the money, the risk."</t>
        </is>
      </c>
    </row>
    <row r="128" ht="15" customHeight="1">
      <c r="A128" s="34" t="inlineStr">
        <is>
          <t>**Part B: Introduce Market Reality (Logic)**</t>
        </is>
      </c>
    </row>
    <row r="129" ht="15" customHeight="1">
      <c r="A129" s="34" t="inlineStr">
        <is>
          <t>&gt; "But here's what the market sees: Not what it cost to build. Not what it could earn if someone else runs it differently. The market asks: What does this business earn today? Right now. At this revenue level, with this rent, with this team. That's what acquisition pricing is based on. That's not a judgment of you. That's just how it works."</t>
        </is>
      </c>
    </row>
    <row r="131" ht="15" customHeight="1">
      <c r="A131" s="34" t="inlineStr">
        <is>
          <t>**Part C: The Pain Gap (The Redirect)**</t>
        </is>
      </c>
    </row>
    <row r="132" ht="15" customHeight="1">
      <c r="A132" s="34" t="inlineStr">
        <is>
          <t>&gt; "Here's the thing: The €1M difference between what you invested and what the fair market value is—let's call that €800-850K loss—that's already gone. Whether you sell today or wait two years, that loss happened. Selling doesn't create the loss. Selling stops the additional losses from continuing."</t>
        </is>
      </c>
    </row>
    <row r="134" ht="15" customHeight="1">
      <c r="A134" s="34" t="inlineStr">
        <is>
          <t>**Then present your numbers:**</t>
        </is>
      </c>
    </row>
    <row r="135" ht="15" customHeight="1">
      <c r="A135" s="34" t="inlineStr">
        <is>
          <t>&gt; "Current EBITDA at this revenue and rent level: approximately €84K annually. Using standard market multiples for wellness businesses (1-2x EBITDA given the risk and the operator-dependent model), fair value is roughly €84K to €170K. I'm proposing we start that conversation at €45K and work toward fair value from there."</t>
        </is>
      </c>
    </row>
    <row r="137" ht="15" customHeight="1">
      <c r="A137" s="34" t="inlineStr">
        <is>
          <t>**Equipment Appraisal Move:**</t>
        </is>
      </c>
    </row>
    <row r="138" ht="15" customHeight="1">
      <c r="A138" s="34" t="inlineStr">
        <is>
          <t>&gt; "I want to be fair here. Why don't we get a third-party equipment appraisal? Independent appraiser values the moveable assets. That's not a judgment—that's just letting the market tell us what it's worth. If the appraisal comes in at €150K, we both feel better about the number."</t>
        </is>
      </c>
    </row>
    <row r="140" ht="15" customHeight="1">
      <c r="A140" s="34" t="inlineStr">
        <is>
          <t>---</t>
        </is>
      </c>
    </row>
    <row r="142" ht="15" customHeight="1">
      <c r="A142" s="34" t="inlineStr">
        <is>
          <t>## Act 3: The Offer (20-30 min)</t>
        </is>
      </c>
    </row>
    <row r="144" ht="15" customHeight="1">
      <c r="A144" s="34" t="inlineStr">
        <is>
          <t>**Opening Line:**</t>
        </is>
      </c>
    </row>
    <row r="145" ht="15" customHeight="1">
      <c r="A145" s="34" t="inlineStr">
        <is>
          <t>&gt; "Based on what the business is generating today and the investment needed to bring underutilized spaces up to revenue—I'm looking at this in the range of €40,000 to €50,000. Let me walk you through how I got there..."</t>
        </is>
      </c>
    </row>
    <row r="147" ht="15" customHeight="1">
      <c r="A147" s="34" t="inlineStr">
        <is>
          <t>**Then show your P&amp;L one-pager:**</t>
        </is>
      </c>
    </row>
    <row r="148" ht="15" customHeight="1">
      <c r="A148" s="34" t="inlineStr">
        <is>
          <t>- Current revenue: €30K/month spa</t>
        </is>
      </c>
    </row>
    <row r="149" ht="15" customHeight="1">
      <c r="A149" s="34" t="inlineStr">
        <is>
          <t>- Current EBITDA: €83.7K/year</t>
        </is>
      </c>
    </row>
    <row r="150" ht="15" customHeight="1">
      <c r="A150" s="34" t="inlineStr">
        <is>
          <t>- Market multiple for risk-adjusted wellness: 1.2x EBITDA</t>
        </is>
      </c>
    </row>
    <row r="151" ht="15" customHeight="1">
      <c r="A151" s="34" t="inlineStr">
        <is>
          <t>- Valuation: €100K (but equipment varies)</t>
        </is>
      </c>
    </row>
    <row r="152" ht="15" customHeight="1">
      <c r="A152" s="34" t="inlineStr">
        <is>
          <t>- Your opening: €45K</t>
        </is>
      </c>
    </row>
    <row r="153" ht="15" customHeight="1">
      <c r="A153" s="34" t="inlineStr">
        <is>
          <t>- Reasoning: Equipment FMV at distressed multiples + lease assumption risk</t>
        </is>
      </c>
    </row>
    <row r="155" ht="15" customHeight="1">
      <c r="A155" s="34" t="inlineStr">
        <is>
          <t>**After you state your number:**</t>
        </is>
      </c>
    </row>
    <row r="156" ht="15" customHeight="1">
      <c r="A156" s="34" t="inlineStr">
        <is>
          <t>- **SILENCE.** Do not fill it. Count to 10 internally. Let him respond.</t>
        </is>
      </c>
    </row>
    <row r="157" ht="15" customHeight="1">
      <c r="A157" s="34" t="inlineStr">
        <is>
          <t>- His response determines your next move</t>
        </is>
      </c>
    </row>
    <row r="159" ht="15" customHeight="1">
      <c r="A159" s="34" t="inlineStr">
        <is>
          <t>**His likely responses:**</t>
        </is>
      </c>
    </row>
    <row r="161" ht="15" customHeight="1">
      <c r="A161" s="34" t="inlineStr">
        <is>
          <t>**If he says "That's way too low":**</t>
        </is>
      </c>
    </row>
    <row r="162" ht="15" customHeight="1">
      <c r="A162" s="34" t="inlineStr">
        <is>
          <t>&gt; "I hear you. Walk me through your number. How'd you arrive at it?"</t>
        </is>
      </c>
    </row>
    <row r="163" ht="15" customHeight="1">
      <c r="A163" s="34" t="inlineStr">
        <is>
          <t>&gt; [Listen. Don't argue. Mirror back. Ask calibrated questions.]</t>
        </is>
      </c>
    </row>
    <row r="165" ht="15" customHeight="1">
      <c r="A165" s="34" t="inlineStr">
        <is>
          <t>**If he says "I can't walk away from €200K+":**</t>
        </is>
      </c>
    </row>
    <row r="166" ht="15" customHeight="1">
      <c r="A166" s="34" t="inlineStr">
        <is>
          <t>&gt; "Help me understand—if you're at breakeven today, how does €200K pencil out? What assumptions are built into that?"</t>
        </is>
      </c>
    </row>
    <row r="167" ht="15" customHeight="1">
      <c r="A167" s="34" t="inlineStr">
        <is>
          <t>&gt; [Make him defend an unrealistic number. The defense often collapses.]</t>
        </is>
      </c>
    </row>
    <row r="169" ht="15" customHeight="1">
      <c r="A169" s="34" t="inlineStr">
        <is>
          <t>**If he asks "What's your maximum?":**</t>
        </is>
      </c>
    </row>
    <row r="170" ht="15" customHeight="1">
      <c r="A170" s="34" t="inlineStr">
        <is>
          <t>&gt; "We're just starting. I need to understand the equipment value, landlord's position, liability schedule. Let's do proper due diligence first. Right now, I'm thinking €45-50K as a starting point."</t>
        </is>
      </c>
    </row>
    <row r="172" ht="15" customHeight="1">
      <c r="A172" s="34" t="inlineStr">
        <is>
          <t>---</t>
        </is>
      </c>
    </row>
    <row r="174" ht="15" customHeight="1">
      <c r="A174" s="34" t="inlineStr">
        <is>
          <t>## Act 4: Close or Exit (10-15 min)</t>
        </is>
      </c>
    </row>
    <row r="176" ht="15" customHeight="1">
      <c r="A176" s="34" t="inlineStr">
        <is>
          <t>**Trial Close (if momentum is positive):**</t>
        </is>
      </c>
    </row>
    <row r="177" ht="15" customHeight="1">
      <c r="A177" s="34" t="inlineStr">
        <is>
          <t>&gt; "It sounds like if we could land somewhere around €100-120K, we'd have a deal. Am I reading that right?"</t>
        </is>
      </c>
    </row>
    <row r="179" ht="15" customHeight="1">
      <c r="A179" s="34" t="inlineStr">
        <is>
          <t>**If he agrees:**</t>
        </is>
      </c>
    </row>
    <row r="180" ht="15" customHeight="1">
      <c r="A180" s="34" t="inlineStr">
        <is>
          <t>&gt; "I'm not going to close this today. Here's what needs to happen: I'll have my team do formal due diligence. That's 24-month P&amp;L, bank statements, landlord confirmation, liability schedule. If those confirm what we've discussed, we can move fast. But I need to verify first. That fair?"</t>
        </is>
      </c>
    </row>
    <row r="182" ht="15" customHeight="1">
      <c r="A182" s="34" t="inlineStr">
        <is>
          <t>**If he's far apart:**</t>
        </is>
      </c>
    </row>
    <row r="183" ht="15" customHeight="1">
      <c r="A183" s="34" t="inlineStr">
        <is>
          <t>&gt; "I think we see the value differently right now. Let me have my team put together a formal analysis. If after that analysis we're still far apart, we'll know. I'll be in touch in a few days."</t>
        </is>
      </c>
    </row>
    <row r="185" ht="15" customHeight="1">
      <c r="A185" s="34" t="inlineStr">
        <is>
          <t>---</t>
        </is>
      </c>
    </row>
    <row r="187" ht="15" customHeight="1">
      <c r="A187" s="34" t="inlineStr">
        <is>
          <t>## Due Diligence Checklist (Hand Over at Act 4)</t>
        </is>
      </c>
    </row>
    <row r="189" ht="15" customHeight="1">
      <c r="A189" s="34" t="inlineStr">
        <is>
          <t>Print and hand to him:</t>
        </is>
      </c>
    </row>
    <row r="191" ht="15" customHeight="1">
      <c r="A191" s="34" t="inlineStr">
        <is>
          <t>```</t>
        </is>
      </c>
    </row>
    <row r="192" ht="15" customHeight="1">
      <c r="A192" s="34" t="inlineStr">
        <is>
          <t>FORMAL DUE DILIGENCE REQUIREMENTS</t>
        </is>
      </c>
    </row>
    <row r="193" ht="15" customHeight="1">
      <c r="A193" s="34" t="inlineStr">
        <is>
          <t>━━━━━━━━━━━━━━━━━━━━━━━━━━━━━━━━━━━━━━</t>
        </is>
      </c>
    </row>
    <row r="195" ht="15" customHeight="1">
      <c r="A195" s="34" t="inlineStr">
        <is>
          <t>□ 24-month P&amp;L statements (month by month)</t>
        </is>
      </c>
    </row>
    <row r="196" ht="15" customHeight="1">
      <c r="A196" s="34" t="inlineStr">
        <is>
          <t>□ 24-month bank statements</t>
        </is>
      </c>
    </row>
    <row r="197" ht="15" customHeight="1">
      <c r="A197" s="34" t="inlineStr">
        <is>
          <t>□ Full lease agreement (assignment clause critical)</t>
        </is>
      </c>
    </row>
    <row r="198" ht="15" customHeight="1">
      <c r="A198" s="34" t="inlineStr">
        <is>
          <t>□ Landlord written confirmation of assignment approval</t>
        </is>
      </c>
    </row>
    <row r="199" ht="15" customHeight="1">
      <c r="A199" s="34" t="inlineStr">
        <is>
          <t>□ Equipment inventory + service records</t>
        </is>
      </c>
    </row>
    <row r="200" ht="15" customHeight="1">
      <c r="A200" s="34" t="inlineStr">
        <is>
          <t>□ All equipment financing agreements (liens, HP, leases)</t>
        </is>
      </c>
    </row>
    <row r="201" ht="15" customHeight="1">
      <c r="A201" s="34" t="inlineStr">
        <is>
          <t>□ Staff contracts and payroll records (2 years)</t>
        </is>
      </c>
    </row>
    <row r="202" ht="15" customHeight="1">
      <c r="A202" s="34" t="inlineStr">
        <is>
          <t>□ Numi separation agreement (written confirmation)</t>
        </is>
      </c>
    </row>
    <row r="203" ht="15" customHeight="1">
      <c r="A203" s="34" t="inlineStr">
        <is>
          <t>□ VAT compliance (last 8 quarters)</t>
        </is>
      </c>
    </row>
    <row r="204" ht="15" customHeight="1">
      <c r="A204" s="34" t="inlineStr">
        <is>
          <t>□ Outstanding creditor schedule</t>
        </is>
      </c>
    </row>
    <row r="205" ht="15" customHeight="1">
      <c r="A205" s="34" t="inlineStr">
        <is>
          <t>□ Any pending legal claims</t>
        </is>
      </c>
    </row>
    <row r="207" ht="15" customHeight="1">
      <c r="A207" s="34" t="inlineStr">
        <is>
          <t>Timeline: 7-10 days. Then: second meeting with your accountant + solicitor.</t>
        </is>
      </c>
    </row>
    <row r="208" ht="15" customHeight="1">
      <c r="A208" s="34" t="inlineStr">
        <is>
          <t>```</t>
        </is>
      </c>
    </row>
    <row r="210" ht="15" customHeight="1">
      <c r="A210" s="34" t="inlineStr">
        <is>
          <t>---</t>
        </is>
      </c>
    </row>
    <row r="212" ht="15" customHeight="1">
      <c r="A212" s="34" t="inlineStr">
        <is>
          <t>## Red Lines (Walk Away If...)</t>
        </is>
      </c>
    </row>
    <row r="214" ht="15" customHeight="1">
      <c r="A214" s="34" t="inlineStr">
        <is>
          <t>**Absolute Dealbreakers:**</t>
        </is>
      </c>
    </row>
    <row r="215" ht="15" customHeight="1">
      <c r="A215" s="34" t="inlineStr">
        <is>
          <t>1. Rent &gt; €10K/month AND seller anchored &gt; €200K (math doesn't work)</t>
        </is>
      </c>
    </row>
    <row r="216" ht="15" customHeight="1">
      <c r="A216" s="34" t="inlineStr">
        <is>
          <t>2. Undisclosed equipment financing or business debts</t>
        </is>
      </c>
    </row>
    <row r="217" ht="15" customHeight="1">
      <c r="A217" s="34" t="inlineStr">
        <is>
          <t>3. Landlord assignment uncertain or requires material premium</t>
        </is>
      </c>
    </row>
    <row r="218" ht="15" customHeight="1">
      <c r="A218" s="34" t="inlineStr">
        <is>
          <t>4. Revenue materially below €30K/month (current is different from real)</t>
        </is>
      </c>
    </row>
    <row r="219" ht="15" customHeight="1">
      <c r="A219" s="34" t="inlineStr">
        <is>
          <t>5. Unresolved Numi legal complications (liability exposure)</t>
        </is>
      </c>
    </row>
    <row r="220" ht="15" customHeight="1">
      <c r="A220" s="34" t="inlineStr">
        <is>
          <t>6. After 3 Ackermann moves, seller still above €250K (too far apart)</t>
        </is>
      </c>
    </row>
    <row r="222" ht="15" customHeight="1">
      <c r="A222" s="34" t="inlineStr">
        <is>
          <t>**Your Exit Line:**</t>
        </is>
      </c>
    </row>
    <row r="223" ht="15" customHeight="1">
      <c r="A223" s="34" t="inlineStr">
        <is>
          <t>&gt; "I appreciate the time. I'm serious about this, but it only works if the numbers make sense. Right now they don't. If things shift, I'm here. But I'm not going to stretch on price just to make a deal happen. I'll move on calmly, and so should you — someone else might pay more."</t>
        </is>
      </c>
    </row>
    <row r="225" ht="15" customHeight="1">
      <c r="A225" s="34" t="inlineStr">
        <is>
          <t>---</t>
        </is>
      </c>
    </row>
    <row r="227" ht="15" customHeight="1">
      <c r="A227" s="34" t="inlineStr">
        <is>
          <t>## Pre-Meeting Mental Checklist</t>
        </is>
      </c>
    </row>
    <row r="229" ht="15" customHeight="1">
      <c r="A229" s="34" t="inlineStr">
        <is>
          <t>**3 Mindset Frames (Repeat Before You Walk In):**</t>
        </is>
      </c>
    </row>
    <row r="230" ht="15" customHeight="1">
      <c r="A230" s="34" t="inlineStr">
        <is>
          <t>1. ✓ "I'm evaluating. I haven't decided to buy yet."</t>
        </is>
      </c>
    </row>
    <row r="231" ht="15" customHeight="1">
      <c r="A231" s="34" t="inlineStr">
        <is>
          <t>2. ✓ "This must work for MY business, not just close a deal."</t>
        </is>
      </c>
    </row>
    <row r="232" ht="15" customHeight="1">
      <c r="A232" s="34" t="inlineStr">
        <is>
          <t>3. ✓ "I'm fair. If we can't find fair value, I walk — calmly."</t>
        </is>
      </c>
    </row>
    <row r="234" ht="15" customHeight="1">
      <c r="A234" s="34" t="inlineStr">
        <is>
          <t>**3 Power Phrases (Memorize These):**</t>
        </is>
      </c>
    </row>
    <row r="235" ht="15" customHeight="1">
      <c r="A235" s="34" t="inlineStr">
        <is>
          <t>1. "It sounds like this situation has taken a real toll..." [Then silence]</t>
        </is>
      </c>
    </row>
    <row r="236" ht="15" customHeight="1">
      <c r="A236" s="34" t="inlineStr">
        <is>
          <t>2. Mirror: "Revenue dropped 40%?" [Then silence]</t>
        </is>
      </c>
    </row>
    <row r="237" ht="15" customHeight="1">
      <c r="A237" s="34" t="inlineStr">
        <is>
          <t>3. "How am I supposed to make that work at the current revenue level?" [Curious, not aggressive]</t>
        </is>
      </c>
    </row>
    <row r="239" ht="15" customHeight="1">
      <c r="A239" s="34" t="inlineStr">
        <is>
          <t>**What to Bring:**</t>
        </is>
      </c>
    </row>
    <row r="240" ht="15" customHeight="1">
      <c r="A240" s="34" t="inlineStr">
        <is>
          <t>- One-page P&amp;L summary (simplified, not overwhelming)</t>
        </is>
      </c>
    </row>
    <row r="241" ht="15" customHeight="1">
      <c r="A241" s="34" t="inlineStr">
        <is>
          <t>- Equipment appraisal proposal (draft)</t>
        </is>
      </c>
    </row>
    <row r="242" ht="15" customHeight="1">
      <c r="A242" s="34" t="inlineStr">
        <is>
          <t>- Due diligence checklist (to hand over)</t>
        </is>
      </c>
    </row>
    <row r="243" ht="15" customHeight="1">
      <c r="A243" s="34" t="inlineStr">
        <is>
          <t>- Notebook (take notes, show you're serious)</t>
        </is>
      </c>
    </row>
    <row r="244" ht="15" customHeight="1">
      <c r="A244" s="34" t="inlineStr">
        <is>
          <t>- **Nothing else** — no term sheet, no contracts</t>
        </is>
      </c>
    </row>
    <row r="246" ht="15" customHeight="1">
      <c r="A246" s="34" t="inlineStr">
        <is>
          <t>**What NOT to Say:**</t>
        </is>
      </c>
    </row>
    <row r="247" ht="15" customHeight="1">
      <c r="A247" s="34" t="inlineStr">
        <is>
          <t>- "I love this space." (He'll anchor higher)</t>
        </is>
      </c>
    </row>
    <row r="248" ht="15" customHeight="1">
      <c r="A248" s="34" t="inlineStr">
        <is>
          <t>- "I'm ready to close fast." (You lose leverage)</t>
        </is>
      </c>
    </row>
    <row r="249" ht="15" customHeight="1">
      <c r="A249" s="34" t="inlineStr">
        <is>
          <t>- "What's your absolute bottom?" (Premature)</t>
        </is>
      </c>
    </row>
    <row r="250" ht="15" customHeight="1">
      <c r="A250" s="34" t="inlineStr">
        <is>
          <t>- "The clinic will be worth €200K." (He'll want it)</t>
        </is>
      </c>
    </row>
    <row r="251" ht="15" customHeight="1">
      <c r="A251" s="34" t="inlineStr">
        <is>
          <t>- Any number above €50K before due diligence (You have no information yet)</t>
        </is>
      </c>
    </row>
    <row r="253" ht="15" customHeight="1">
      <c r="A253" s="34" t="inlineStr">
        <is>
          <t>---</t>
        </is>
      </c>
    </row>
    <row r="255" ht="15" customHeight="1">
      <c r="A255" s="34" t="inlineStr">
        <is>
          <t>## Post-Meeting Protocol</t>
        </is>
      </c>
    </row>
    <row r="257" ht="15" customHeight="1">
      <c r="A257" s="34" t="inlineStr">
        <is>
          <t>**Immediately After (Same Day):**</t>
        </is>
      </c>
    </row>
    <row r="258" ht="15" customHeight="1">
      <c r="A258" s="34" t="inlineStr">
        <is>
          <t>- Do NOT email or call</t>
        </is>
      </c>
    </row>
    <row r="259" ht="15" customHeight="1">
      <c r="A259" s="34" t="inlineStr">
        <is>
          <t>- Decompress. You've given him things to think about.</t>
        </is>
      </c>
    </row>
    <row r="260" ht="15" customHeight="1">
      <c r="A260" s="34" t="inlineStr">
        <is>
          <t>- Your silence is power.</t>
        </is>
      </c>
    </row>
    <row r="262" ht="15" customHeight="1">
      <c r="A262" s="34" t="inlineStr">
        <is>
          <t>**24-48 Hours Later:**</t>
        </is>
      </c>
    </row>
    <row r="263" ht="15" customHeight="1">
      <c r="A263" s="34" t="inlineStr">
        <is>
          <t>- Brief email only (max 3 sentences):</t>
        </is>
      </c>
    </row>
    <row r="264" ht="15" customHeight="1">
      <c r="A264" s="34" t="inlineStr">
        <is>
          <t xml:space="preserve">  &gt; "Thanks for the time today. My team is pulling together the due diligence request. Happy to connect early next week once we've had a chance to digest the numbers."</t>
        </is>
      </c>
    </row>
    <row r="265" ht="15" customHeight="1">
      <c r="A265" s="34" t="inlineStr">
        <is>
          <t>- Do not propose a price or new concession</t>
        </is>
      </c>
    </row>
    <row r="266" ht="15" customHeight="1">
      <c r="A266" s="34" t="inlineStr">
        <is>
          <t>- Do not ask for his response</t>
        </is>
      </c>
    </row>
    <row r="268" ht="15" customHeight="1">
      <c r="A268" s="34" t="inlineStr">
        <is>
          <t>**Next Step (48-72 Hours):**</t>
        </is>
      </c>
    </row>
    <row r="269" ht="15" customHeight="1">
      <c r="A269" s="34" t="inlineStr">
        <is>
          <t>- Formal due diligence request (email it, make it official-looking)</t>
        </is>
      </c>
    </row>
    <row r="270" ht="15" customHeight="1">
      <c r="A270" s="34" t="inlineStr">
        <is>
          <t>- Hand to solicitor / accountant</t>
        </is>
      </c>
    </row>
    <row r="271" ht="15" customHeight="1">
      <c r="A271" s="34" t="inlineStr">
        <is>
          <t>- Let them vet it in parallel while you wait</t>
        </is>
      </c>
    </row>
    <row r="273" ht="15" customHeight="1">
      <c r="A273" s="34" t="inlineStr">
        <is>
          <t>**Second Meeting:**</t>
        </is>
      </c>
    </row>
    <row r="274" ht="15" customHeight="1">
      <c r="A274" s="34" t="inlineStr">
        <is>
          <t>- Bring accountant or solicitor</t>
        </is>
      </c>
    </row>
    <row r="275" ht="15" customHeight="1">
      <c r="A275" s="34" t="inlineStr">
        <is>
          <t>- This is the real negotiation (Act 3 Redux)</t>
        </is>
      </c>
    </row>
    <row r="276" ht="15" customHeight="1">
      <c r="A276" s="34" t="inlineStr">
        <is>
          <t>- Now you have verified information</t>
        </is>
      </c>
    </row>
    <row r="277" ht="15" customHeight="1">
      <c r="A277" s="34" t="inlineStr">
        <is>
          <t>- Now you can move numbers</t>
        </is>
      </c>
    </row>
    <row r="279" ht="15" customHeight="1">
      <c r="A279" s="34" t="inlineStr">
        <is>
          <t>---</t>
        </is>
      </c>
    </row>
    <row r="281" ht="15" customHeight="1">
      <c r="A281" s="34" t="inlineStr">
        <is>
          <t>## Scenario: What If He Asks to Meet Your Accountant First?</t>
        </is>
      </c>
    </row>
    <row r="283" ht="15" customHeight="1">
      <c r="A283" s="34" t="inlineStr">
        <is>
          <t>**Good sign.** This means he wants to understand your seriousness and that you have professional backing.</t>
        </is>
      </c>
    </row>
    <row r="285" ht="15" customHeight="1">
      <c r="A285" s="34" t="inlineStr">
        <is>
          <t>**Your response:**</t>
        </is>
      </c>
    </row>
    <row r="286" ht="15" customHeight="1">
      <c r="A286" s="34" t="inlineStr">
        <is>
          <t>&gt; "Absolutely. Let's set that up. But let me be transparent: My accountant will ask for the same due diligence checklist—24-month financials, lease documents, landlord confirmation. Once we have that, we can all sit down together. Does that work?"</t>
        </is>
      </c>
    </row>
    <row r="288" ht="15" customHeight="1">
      <c r="A288" s="34" t="inlineStr">
        <is>
          <t>**Translation:** You're not negotiating alone. You have professional backing. This raises your credibility.</t>
        </is>
      </c>
    </row>
    <row r="290" ht="15" customHeight="1">
      <c r="A290" s="34" t="inlineStr">
        <is>
          <t>---</t>
        </is>
      </c>
    </row>
    <row r="292" ht="15" customHeight="1">
      <c r="A292" s="34" t="inlineStr">
        <is>
          <t>## Numbers Summary Card (Memorize)</t>
        </is>
      </c>
    </row>
    <row r="294" ht="15" customHeight="1">
      <c r="A294" s="34" t="inlineStr">
        <is>
          <t>| Item | Number | Why |</t>
        </is>
      </c>
    </row>
    <row r="295" ht="15" customHeight="1">
      <c r="A295" s="34" t="inlineStr">
        <is>
          <t>|---|---|---|</t>
        </is>
      </c>
    </row>
    <row r="296" ht="15" customHeight="1">
      <c r="A296" s="34" t="inlineStr">
        <is>
          <t>| **Current Spa Revenue** | €30K/month | Your conservative baseline |</t>
        </is>
      </c>
    </row>
    <row r="297" ht="15" customHeight="1">
      <c r="A297" s="34" t="inlineStr">
        <is>
          <t>| **Current Spa EBITDA** | €83.7K/year | At normal rent, no clinic |</t>
        </is>
      </c>
    </row>
    <row r="298" ht="15" customHeight="1">
      <c r="A298" s="34" t="inlineStr">
        <is>
          <t>| **With Clinic Ramp** | €123.4K/year | Your realistic Base Case |</t>
        </is>
      </c>
    </row>
    <row r="299" ht="15" customHeight="1">
      <c r="A299" s="34" t="inlineStr">
        <is>
          <t>| **Market Multiple** | 1.2-1.5x EBITDA | For wellness, risk-adjusted |</t>
        </is>
      </c>
    </row>
    <row r="300" ht="15" customHeight="1">
      <c r="A300" s="34" t="inlineStr">
        <is>
          <t>| **Fair Value Range** | €100-185K | Depending on rent, equipment FMV |</t>
        </is>
      </c>
    </row>
    <row r="301" ht="15" customHeight="1">
      <c r="A301" s="34" t="inlineStr">
        <is>
          <t>| **Your Anchor** | €45,000 | Starting point (equipment only) |</t>
        </is>
      </c>
    </row>
    <row r="302" ht="15" customHeight="1">
      <c r="A302" s="34" t="inlineStr">
        <is>
          <t>| **Your Target** | €120,000 | Realistic close (both lease + equip) |</t>
        </is>
      </c>
    </row>
    <row r="303" ht="15" customHeight="1">
      <c r="A303" s="34" t="inlineStr">
        <is>
          <t>| **Your Walk-Away** | €200,000 | Only if: rent ≤€5.5K, zero liabilities |</t>
        </is>
      </c>
    </row>
    <row r="305" ht="15" customHeight="1">
      <c r="A305" s="34" t="inlineStr">
        <is>
          <t>---</t>
        </is>
      </c>
    </row>
    <row r="307" ht="15" customHeight="1">
      <c r="A307" s="34" t="inlineStr">
        <is>
          <t>## Final Thought</t>
        </is>
      </c>
    </row>
    <row r="309" ht="15" customHeight="1">
      <c r="A309" s="34" t="inlineStr">
        <is>
          <t>**You are not desperate.** You have a clinic already working. You're evaluating whether this particular asset adds value. The seller is bleeding money. The power is yours — use it.</t>
        </is>
      </c>
    </row>
    <row r="311" ht="15" customHeight="1">
      <c r="A311" s="34" t="inlineStr">
        <is>
          <t>Enter calm. Listen hard. Don't rush. Concede slowly and conditionally. Walk away if the math doesn't work.</t>
        </is>
      </c>
    </row>
    <row r="313" ht="15" customHeight="1">
      <c r="A313" s="34" t="inlineStr">
        <is>
          <t>The best negotiators aren't the ones who win the biggest fights. They're the ones who know when to walk away.</t>
        </is>
      </c>
    </row>
    <row r="315" ht="15" customHeight="1">
      <c r="A315" s="34" t="inlineStr">
        <is>
          <t>**You know how to walk away.**</t>
        </is>
      </c>
    </row>
    <row r="317" ht="15" customHeight="1">
      <c r="A317" s="34" t="inlineStr">
        <is>
          <t>Go in there and negotiate like it.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23"/>
  <sheetViews>
    <sheetView workbookViewId="0">
      <selection activeCell="A1" sqref="A1"/>
    </sheetView>
  </sheetViews>
  <sheetFormatPr baseColWidth="8" defaultRowHeight="15"/>
  <cols>
    <col width="180" customWidth="1" min="1" max="1"/>
  </cols>
  <sheetData>
    <row r="1" ht="15" customHeight="1">
      <c r="A1" s="34" t="inlineStr">
        <is>
          <t>═══════════════════════════════════════════════════════════════════════════════</t>
        </is>
      </c>
    </row>
    <row r="2" ht="15" customHeight="1">
      <c r="A2" s="34" t="inlineStr">
        <is>
          <t xml:space="preserve">                    INA SPA MALTA — MEETING QUICK REFERENCE</t>
        </is>
      </c>
    </row>
    <row r="3" ht="15" customHeight="1">
      <c r="A3" s="34" t="inlineStr">
        <is>
          <t xml:space="preserve">                              February 22, 2026</t>
        </is>
      </c>
    </row>
    <row r="4" ht="15" customHeight="1">
      <c r="A4" s="34" t="inlineStr">
        <is>
          <t>═══════════════════════════════════════════════════════════════════════════════</t>
        </is>
      </c>
    </row>
    <row r="6" ht="15" customHeight="1">
      <c r="A6" s="34" t="inlineStr">
        <is>
          <t>MINDSET BEFORE YOU WALK IN</t>
        </is>
      </c>
    </row>
    <row r="7" ht="15" customHeight="1">
      <c r="A7" s="34" t="inlineStr">
        <is>
          <t>━━━━━━━━━━━━━━━━━━━━━━━━━━━━━━━━━━━━━━━━━━━━━━━━━━━━━━━━━━━━━━━━━━━━━━━━━━━━</t>
        </is>
      </c>
    </row>
    <row r="8" ht="15" customHeight="1">
      <c r="A8" s="34" t="inlineStr">
        <is>
          <t>✓ I'm evaluating. Haven't decided yet.</t>
        </is>
      </c>
    </row>
    <row r="9" ht="15" customHeight="1">
      <c r="A9" s="34" t="inlineStr">
        <is>
          <t>✓ This must work for MY business.</t>
        </is>
      </c>
    </row>
    <row r="10" ht="15" customHeight="1">
      <c r="A10" s="34" t="inlineStr">
        <is>
          <t>✓ I'm fair. If numbers don't work, I walk calmly.</t>
        </is>
      </c>
    </row>
    <row r="12" ht="15" customHeight="1">
      <c r="A12" s="34" t="inlineStr">
        <is>
          <t>═══════════════════════════════════════════════════════════════════════════════</t>
        </is>
      </c>
    </row>
    <row r="14" ht="15" customHeight="1">
      <c r="A14" s="34" t="inlineStr">
        <is>
          <t>THE THREE NUMBERS</t>
        </is>
      </c>
    </row>
    <row r="15" ht="15" customHeight="1">
      <c r="A15" s="34" t="inlineStr">
        <is>
          <t>━━━━━━━━━━━━━━━━━━━━━━━━━━━━━━━━━━━━━━━━━━━━━━━━━━━━━━━━━━━━━━━━━━━━━━━━━━━━</t>
        </is>
      </c>
    </row>
    <row r="16" ht="15" customHeight="1">
      <c r="A16" s="34" t="inlineStr">
        <is>
          <t>ANCHOR (Open):     €45,000    ← Start here. Hold silence.</t>
        </is>
      </c>
    </row>
    <row r="17" ht="15" customHeight="1">
      <c r="A17" s="34" t="inlineStr">
        <is>
          <t>TARGET (Close):    €120,000   ← Where you want to land</t>
        </is>
      </c>
    </row>
    <row r="18" ht="15" customHeight="1">
      <c r="A18" s="34" t="inlineStr">
        <is>
          <t>WALK-AWAY:         €200,000   ← INTERNAL ONLY. Never mention.</t>
        </is>
      </c>
    </row>
    <row r="20" ht="15" customHeight="1">
      <c r="A20" s="34" t="inlineStr">
        <is>
          <t>═══════════════════════════════════════════════════════════════════════════════</t>
        </is>
      </c>
    </row>
    <row r="22" ht="15" customHeight="1">
      <c r="A22" s="34" t="inlineStr">
        <is>
          <t>ACT 1: THE FIVE QUESTIONS (In This Order)</t>
        </is>
      </c>
    </row>
    <row r="23" ht="15" customHeight="1">
      <c r="A23" s="34" t="inlineStr">
        <is>
          <t>━━━━━━━━━━━━━━━━━━━━━━━━━━━━━━━━━━━━━━━━━━━━━━━━━━━━━━━━━━━━━━━━━━━━━━━━━━━━</t>
        </is>
      </c>
    </row>
    <row r="24" ht="15" customHeight="1">
      <c r="A24" s="34" t="inlineStr">
        <is>
          <t>1. "What's been the biggest challenge since the Numi situation ended?"</t>
        </is>
      </c>
    </row>
    <row r="25" ht="15" customHeight="1">
      <c r="A25" s="34" t="inlineStr">
        <is>
          <t xml:space="preserve">   ➜ LISTEN: Pain points, cash burn, urgency</t>
        </is>
      </c>
    </row>
    <row r="27" ht="15" customHeight="1">
      <c r="A27" s="34" t="inlineStr">
        <is>
          <t>2. "What does the monthly picture look like — covering costs?"</t>
        </is>
      </c>
    </row>
    <row r="28" ht="15" customHeight="1">
      <c r="A28" s="34" t="inlineStr">
        <is>
          <t xml:space="preserve">   ➜ LISTEN: Revenue truth, rent level, payroll stress</t>
        </is>
      </c>
    </row>
    <row r="30" ht="15" customHeight="1">
      <c r="A30" s="34" t="inlineStr">
        <is>
          <t>3. "What would a successful resolution look like for you personally?"</t>
        </is>
      </c>
    </row>
    <row r="31" ht="15" customHeight="1">
      <c r="A31" s="34" t="inlineStr">
        <is>
          <t xml:space="preserve">   ➜ LISTEN: His definition of "win", timeline urgency, ego</t>
        </is>
      </c>
    </row>
    <row r="33" ht="15" customHeight="1">
      <c r="A33" s="34" t="inlineStr">
        <is>
          <t>4. "What's your ideal timeframe?"</t>
        </is>
      </c>
    </row>
    <row r="34" ht="15" customHeight="1">
      <c r="A34" s="34" t="inlineStr">
        <is>
          <t xml:space="preserve">   ➜ LISTEN: "ASAP" = high motivation. "No rush" = lower urgency.</t>
        </is>
      </c>
    </row>
    <row r="36" ht="15" customHeight="1">
      <c r="A36" s="34" t="inlineStr">
        <is>
          <t>5. "Have you had other conversations with interested parties?"</t>
        </is>
      </c>
    </row>
    <row r="37" ht="15" customHeight="1">
      <c r="A37" s="34" t="inlineStr">
        <is>
          <t xml:space="preserve">   ➜ LISTEN: "Just you" = zero competition. "A few" = you need to move.</t>
        </is>
      </c>
    </row>
    <row r="39" ht="15" customHeight="1">
      <c r="A39" s="34" t="inlineStr">
        <is>
          <t>TACTICAL MOVES:</t>
        </is>
      </c>
    </row>
    <row r="40" ht="15" customHeight="1">
      <c r="A40" s="34" t="inlineStr">
        <is>
          <t>• Mirror last 3 words: "Revenue dropped 40%?" [silence]</t>
        </is>
      </c>
    </row>
    <row r="41" ht="15" customHeight="1">
      <c r="A41" s="34" t="inlineStr">
        <is>
          <t>• Label emotions: "This situation has taken a real toll..."</t>
        </is>
      </c>
    </row>
    <row r="42" ht="15" customHeight="1">
      <c r="A42" s="34" t="inlineStr">
        <is>
          <t>• Always follow with silence. Don't fill it.</t>
        </is>
      </c>
    </row>
    <row r="44" ht="15" customHeight="1">
      <c r="A44" s="34" t="inlineStr">
        <is>
          <t>═══════════════════════════════════════════════════════════════════════════════</t>
        </is>
      </c>
    </row>
    <row r="46" ht="15" customHeight="1">
      <c r="A46" s="34" t="inlineStr">
        <is>
          <t>ACT 2: THE REFRAME (When He Brings Up €1M Investment)</t>
        </is>
      </c>
    </row>
    <row r="47" ht="15" customHeight="1">
      <c r="A47" s="34" t="inlineStr">
        <is>
          <t>━━━━━━━━━━━━━━━━━━━━━━━━━━━━━━━━━━━━━━━━━━━━━━━━━━━━━━━━━━━━━━━━━━━━━━━━━━━━</t>
        </is>
      </c>
    </row>
    <row r="48" ht="15" customHeight="1">
      <c r="A48" s="34" t="inlineStr">
        <is>
          <t>HIS ARGUMENT: "I invested €1M into this..."</t>
        </is>
      </c>
    </row>
    <row r="50" ht="15" customHeight="1">
      <c r="A50" s="34" t="inlineStr">
        <is>
          <t>YOUR RESPONSE:</t>
        </is>
      </c>
    </row>
    <row r="51" ht="15" customHeight="1">
      <c r="A51" s="34" t="inlineStr">
        <is>
          <t>"I completely understand. You put in real capital, real work, real risk.</t>
        </is>
      </c>
    </row>
    <row r="52" ht="15" customHeight="1">
      <c r="A52" s="34" t="inlineStr">
        <is>
          <t>But the market asks one question: What does this business EARN today?</t>
        </is>
      </c>
    </row>
    <row r="53" ht="15" customHeight="1">
      <c r="A53" s="34" t="inlineStr">
        <is>
          <t>Not what it cost to build. Not what it could earn. What it earns right now.</t>
        </is>
      </c>
    </row>
    <row r="54" ht="15" customHeight="1">
      <c r="A54" s="34" t="inlineStr">
        <is>
          <t>That's acquisition pricing.</t>
        </is>
      </c>
    </row>
    <row r="56" ht="15" customHeight="1">
      <c r="A56" s="34" t="inlineStr">
        <is>
          <t>The €800K difference between what you invested and fair market value —</t>
        </is>
      </c>
    </row>
    <row r="57" ht="15" customHeight="1">
      <c r="A57" s="34" t="inlineStr">
        <is>
          <t>that loss happened whether you sell today or wait. Selling doesn't create</t>
        </is>
      </c>
    </row>
    <row r="58" ht="15" customHeight="1">
      <c r="A58" s="34" t="inlineStr">
        <is>
          <t>the loss. Selling stops the losses from continuing."</t>
        </is>
      </c>
    </row>
    <row r="60" ht="15" customHeight="1">
      <c r="A60" s="34" t="inlineStr">
        <is>
          <t>THEN: Show the one-page P&amp;L.</t>
        </is>
      </c>
    </row>
    <row r="61" ht="15" customHeight="1">
      <c r="A61" s="34" t="inlineStr">
        <is>
          <t>EQUIPMENT APPRAISAL MOVE:</t>
        </is>
      </c>
    </row>
    <row r="62" ht="15" customHeight="1">
      <c r="A62" s="34" t="inlineStr">
        <is>
          <t>"Let's get a third-party appraisal. Let the market tell us what it's worth."</t>
        </is>
      </c>
    </row>
    <row r="64" ht="15" customHeight="1">
      <c r="A64" s="34" t="inlineStr">
        <is>
          <t>═══════════════════════════════════════════════════════════════════════════════</t>
        </is>
      </c>
    </row>
    <row r="66" ht="15" customHeight="1">
      <c r="A66" s="34" t="inlineStr">
        <is>
          <t>ACT 3: THE OFFER (Your Opening Statement)</t>
        </is>
      </c>
    </row>
    <row r="67" ht="15" customHeight="1">
      <c r="A67" s="34" t="inlineStr">
        <is>
          <t>━━━━━━━━━━━━━━━━━━━━━━━━━━━━━━━━━━━━━━━━━━━━━━━━━━━━━━━━━━━━━━━━━━━━━━━━━━━━</t>
        </is>
      </c>
    </row>
    <row r="68" ht="15" customHeight="1">
      <c r="A68" s="34" t="inlineStr">
        <is>
          <t>"Based on what the business is generating today and the investment needed</t>
        </is>
      </c>
    </row>
    <row r="69" ht="15" customHeight="1">
      <c r="A69" s="34" t="inlineStr">
        <is>
          <t>to bring underutilized spaces up — I'm looking at this in the range of</t>
        </is>
      </c>
    </row>
    <row r="70" ht="15" customHeight="1">
      <c r="A70" s="34" t="inlineStr">
        <is>
          <t>€40,000 to €50,000. Let me walk you through how I got there..."</t>
        </is>
      </c>
    </row>
    <row r="72" ht="15" customHeight="1">
      <c r="A72" s="34" t="inlineStr">
        <is>
          <t>[THEN: SILENCE. Count to 10. Let him respond. Do NOT negotiate against yourself.]</t>
        </is>
      </c>
    </row>
    <row r="74" ht="15" customHeight="1">
      <c r="A74" s="34" t="inlineStr">
        <is>
          <t>HIS LIKELY RESPONSES:</t>
        </is>
      </c>
    </row>
    <row r="76" ht="15" customHeight="1">
      <c r="A76" s="34" t="inlineStr">
        <is>
          <t>"That's way too low"</t>
        </is>
      </c>
    </row>
    <row r="77" ht="15" customHeight="1">
      <c r="A77" s="34" t="inlineStr">
        <is>
          <t>→ YOU: "Walk me through your number. How'd you arrive at it?" [Listen.]</t>
        </is>
      </c>
    </row>
    <row r="79" ht="15" customHeight="1">
      <c r="A79" s="34" t="inlineStr">
        <is>
          <t>"I need €200K+"</t>
        </is>
      </c>
    </row>
    <row r="80" ht="15" customHeight="1">
      <c r="A80" s="34" t="inlineStr">
        <is>
          <t>→ YOU: "If you're at breakeven today, how does €200K pencil out?"</t>
        </is>
      </c>
    </row>
    <row r="81" ht="15" customHeight="1">
      <c r="A81" s="34" t="inlineStr">
        <is>
          <t xml:space="preserve">        [Make him defend the number. It often collapses.]</t>
        </is>
      </c>
    </row>
    <row r="83" ht="15" customHeight="1">
      <c r="A83" s="34" t="inlineStr">
        <is>
          <t>"What's your maximum?"</t>
        </is>
      </c>
    </row>
    <row r="84" ht="15" customHeight="1">
      <c r="A84" s="34" t="inlineStr">
        <is>
          <t>→ YOU: "We're just starting. Need proper due diligence first.</t>
        </is>
      </c>
    </row>
    <row r="85" ht="15" customHeight="1">
      <c r="A85" s="34" t="inlineStr">
        <is>
          <t xml:space="preserve">        €45-50K is my opening."</t>
        </is>
      </c>
    </row>
    <row r="87" ht="15" customHeight="1">
      <c r="A87" s="34" t="inlineStr">
        <is>
          <t>═══════════════════════════════════════════════════════════════════════════════</t>
        </is>
      </c>
    </row>
    <row r="89" ht="15" customHeight="1">
      <c r="A89" s="34" t="inlineStr">
        <is>
          <t>THE ACKERMANN SEQUENCE (If Negotiation Continues)</t>
        </is>
      </c>
    </row>
    <row r="90" ht="15" customHeight="1">
      <c r="A90" s="34" t="inlineStr">
        <is>
          <t>━━━━━━━━━━━━━━━━━━━━━━━━━━━━━━━━━━━━━━━━━━━━━━━━━━━━━━━━━━━━━━━━━━━━━━━━━━━━</t>
        </is>
      </c>
    </row>
    <row r="91" ht="15" customHeight="1">
      <c r="A91" s="34" t="inlineStr">
        <is>
          <t>MOVE 1:  €72,000   (Condition: Equipment appraisal + landlord positive signals)</t>
        </is>
      </c>
    </row>
    <row r="92" ht="15" customHeight="1">
      <c r="A92" s="34" t="inlineStr">
        <is>
          <t>MOVE 2:  €96,000   (Condition: 24-month P&amp;L clean, no liabilities)</t>
        </is>
      </c>
    </row>
    <row r="93" ht="15" customHeight="1">
      <c r="A93" s="34" t="inlineStr">
        <is>
          <t>MOVE 3:  €114,000  (Condition: Landlord approval in writing)</t>
        </is>
      </c>
    </row>
    <row r="94" ht="15" customHeight="1">
      <c r="A94" s="34" t="inlineStr">
        <is>
          <t>FINAL:   €119,750  (Condition: 45-day close, liability indemnification)</t>
        </is>
      </c>
    </row>
    <row r="96" ht="15" customHeight="1">
      <c r="A96" s="34" t="inlineStr">
        <is>
          <t>REMEMBER: Each move smaller than last. Each move conditional. Never round numbers.</t>
        </is>
      </c>
    </row>
    <row r="98" ht="15" customHeight="1">
      <c r="A98" s="34" t="inlineStr">
        <is>
          <t>═══════════════════════════════════════════════════════════════════════════════</t>
        </is>
      </c>
    </row>
    <row r="100" ht="15" customHeight="1">
      <c r="A100" s="34" t="inlineStr">
        <is>
          <t>THE THREE POWER PHRASES</t>
        </is>
      </c>
    </row>
    <row r="101" ht="15" customHeight="1">
      <c r="A101" s="34" t="inlineStr">
        <is>
          <t>━━━━━━━━━━━━━━━━━━━━━━━━━━━━━━━━━━━━━━━━━━━━━━━━━━━━━━━━━━━━━━━━━━━━━━━━━━━━</t>
        </is>
      </c>
    </row>
    <row r="102" ht="15" customHeight="1">
      <c r="A102" s="34" t="inlineStr">
        <is>
          <t>1. "It sounds like this situation has taken a real toll..." [silence]</t>
        </is>
      </c>
    </row>
    <row r="104" ht="15" customHeight="1">
      <c r="A104" s="34" t="inlineStr">
        <is>
          <t>2. MIRROR: Repeat last 3 words as a question, then wait for answer</t>
        </is>
      </c>
    </row>
    <row r="106" ht="15" customHeight="1">
      <c r="A106" s="34" t="inlineStr">
        <is>
          <t>3. "How am I supposed to make that work at the current revenue level?"</t>
        </is>
      </c>
    </row>
    <row r="107" ht="15" customHeight="1">
      <c r="A107" s="34" t="inlineStr">
        <is>
          <t xml:space="preserve">   [Curious tone, not aggressive. This frames his position as unrealistic.]</t>
        </is>
      </c>
    </row>
    <row r="109" ht="15" customHeight="1">
      <c r="A109" s="34" t="inlineStr">
        <is>
          <t>═══════════════════════════════════════════════════════════════════════════════</t>
        </is>
      </c>
    </row>
    <row r="111" ht="15" customHeight="1">
      <c r="A111" s="34" t="inlineStr">
        <is>
          <t>ACT 4: CLOSE OR EXIT</t>
        </is>
      </c>
    </row>
    <row r="112" ht="15" customHeight="1">
      <c r="A112" s="34" t="inlineStr">
        <is>
          <t>━━━━━━━━━━━━━━━━━━━━━━━━━━━━━━━━━━━━━━━━━━━━━━━━━━━━━━━━━━━━━━━━━━━━━━━━━━━━</t>
        </is>
      </c>
    </row>
    <row r="113" ht="15" customHeight="1">
      <c r="A113" s="34" t="inlineStr">
        <is>
          <t>IF POSITIVE MOMENTUM:</t>
        </is>
      </c>
    </row>
    <row r="114" ht="15" customHeight="1">
      <c r="A114" s="34" t="inlineStr">
        <is>
          <t>"It sounds like if we could land somewhere around €100-120K, we'd have a</t>
        </is>
      </c>
    </row>
    <row r="115" ht="15" customHeight="1">
      <c r="A115" s="34" t="inlineStr">
        <is>
          <t>deal. Am I reading that right?"</t>
        </is>
      </c>
    </row>
    <row r="117" ht="15" customHeight="1">
      <c r="A117" s="34" t="inlineStr">
        <is>
          <t>[If he agrees:] "I'm not closing today. My team needs to do due diligence.</t>
        </is>
      </c>
    </row>
    <row r="118" ht="15" customHeight="1">
      <c r="A118" s="34" t="inlineStr">
        <is>
          <t>24-month P&amp;L, bank statements, landlord confirmation, liability schedule.</t>
        </is>
      </c>
    </row>
    <row r="119" ht="15" customHeight="1">
      <c r="A119" s="34" t="inlineStr">
        <is>
          <t>If those confirm what we discussed, we move fast. Fair?"</t>
        </is>
      </c>
    </row>
    <row r="121" ht="15" customHeight="1">
      <c r="A121" s="34" t="inlineStr">
        <is>
          <t>IF FAR APART:</t>
        </is>
      </c>
    </row>
    <row r="122" ht="15" customHeight="1">
      <c r="A122" s="34" t="inlineStr">
        <is>
          <t>"I think we see the value differently. Let me have my team put together a</t>
        </is>
      </c>
    </row>
    <row r="123" ht="15" customHeight="1">
      <c r="A123" s="34" t="inlineStr">
        <is>
          <t>formal analysis. If we're still far apart after that, we'll know. I'll be</t>
        </is>
      </c>
    </row>
    <row r="124" ht="15" customHeight="1">
      <c r="A124" s="34" t="inlineStr">
        <is>
          <t>in touch in a few days."</t>
        </is>
      </c>
    </row>
    <row r="126" ht="15" customHeight="1">
      <c r="A126" s="34" t="inlineStr">
        <is>
          <t>═══════════════════════════════════════════════════════════════════════════════</t>
        </is>
      </c>
    </row>
    <row r="128" ht="15" customHeight="1">
      <c r="A128" s="34" t="inlineStr">
        <is>
          <t>RED LINES — WALK AWAY IF:</t>
        </is>
      </c>
    </row>
    <row r="129" ht="15" customHeight="1">
      <c r="A129" s="34" t="inlineStr">
        <is>
          <t>━━━━━━━━━━━━━━━━━━━━━━━━━━━━━━━━━━━━━━━━━━━━━━━━━━━━━━━━━━━━━━━━━━━━━━━━━━━━</t>
        </is>
      </c>
    </row>
    <row r="130" ht="15" customHeight="1">
      <c r="A130" s="34" t="inlineStr">
        <is>
          <t>❌ Rent &gt; €10K/month AND he anchored &gt; €200K (math breaks)</t>
        </is>
      </c>
    </row>
    <row r="131" ht="15" customHeight="1">
      <c r="A131" s="34" t="inlineStr">
        <is>
          <t>❌ Undisclosed equipment financing or business debts</t>
        </is>
      </c>
    </row>
    <row r="132" ht="15" customHeight="1">
      <c r="A132" s="34" t="inlineStr">
        <is>
          <t>❌ Landlord assignment uncertain or requires premium</t>
        </is>
      </c>
    </row>
    <row r="133" ht="15" customHeight="1">
      <c r="A133" s="34" t="inlineStr">
        <is>
          <t>❌ Revenue materially below €30K/month (is he lying?)</t>
        </is>
      </c>
    </row>
    <row r="134" ht="15" customHeight="1">
      <c r="A134" s="34" t="inlineStr">
        <is>
          <t>❌ Unresolved Numi legal issues (liability exposure)</t>
        </is>
      </c>
    </row>
    <row r="135" ht="15" customHeight="1">
      <c r="A135" s="34" t="inlineStr">
        <is>
          <t>❌ After 3 moves, still above €250K (too far apart)</t>
        </is>
      </c>
    </row>
    <row r="137" ht="15" customHeight="1">
      <c r="A137" s="34" t="inlineStr">
        <is>
          <t>═══════════════════════════════════════════════════════════════════════════════</t>
        </is>
      </c>
    </row>
    <row r="139" ht="15" customHeight="1">
      <c r="A139" s="34" t="inlineStr">
        <is>
          <t>DUE DILIGENCE CHECKLIST (Hand This to Him)</t>
        </is>
      </c>
    </row>
    <row r="140" ht="15" customHeight="1">
      <c r="A140" s="34" t="inlineStr">
        <is>
          <t>━━━━━━━━━━━━━━━━━━━━━━━━━━━━━━━━━━━━━━━━━━━━━━━━━━━━━━━━━━━━━━━━━━━━━━━━━━━━</t>
        </is>
      </c>
    </row>
    <row r="141" ht="15" customHeight="1">
      <c r="A141" s="34" t="inlineStr">
        <is>
          <t>□ 24-month P&amp;L (month by month)</t>
        </is>
      </c>
    </row>
    <row r="142" ht="15" customHeight="1">
      <c r="A142" s="34" t="inlineStr">
        <is>
          <t>□ 24-month bank statements</t>
        </is>
      </c>
    </row>
    <row r="143" ht="15" customHeight="1">
      <c r="A143" s="34" t="inlineStr">
        <is>
          <t>□ Full lease agreement (assignment clause critical)</t>
        </is>
      </c>
    </row>
    <row r="144" ht="15" customHeight="1">
      <c r="A144" s="34" t="inlineStr">
        <is>
          <t>□ Landlord written confirmation of assignment approval</t>
        </is>
      </c>
    </row>
    <row r="145" ht="15" customHeight="1">
      <c r="A145" s="34" t="inlineStr">
        <is>
          <t>□ Equipment inventory + service records</t>
        </is>
      </c>
    </row>
    <row r="146" ht="15" customHeight="1">
      <c r="A146" s="34" t="inlineStr">
        <is>
          <t>□ All equipment financing agreements</t>
        </is>
      </c>
    </row>
    <row r="147" ht="15" customHeight="1">
      <c r="A147" s="34" t="inlineStr">
        <is>
          <t>□ Staff contracts + payroll records (2 years)</t>
        </is>
      </c>
    </row>
    <row r="148" ht="15" customHeight="1">
      <c r="A148" s="34" t="inlineStr">
        <is>
          <t>□ Numi separation agreement (written confirmation)</t>
        </is>
      </c>
    </row>
    <row r="149" ht="15" customHeight="1">
      <c r="A149" s="34" t="inlineStr">
        <is>
          <t>□ VAT compliance (last 8 quarters)</t>
        </is>
      </c>
    </row>
    <row r="150" ht="15" customHeight="1">
      <c r="A150" s="34" t="inlineStr">
        <is>
          <t>□ Outstanding creditor schedule</t>
        </is>
      </c>
    </row>
    <row r="151" ht="15" customHeight="1">
      <c r="A151" s="34" t="inlineStr">
        <is>
          <t>□ Any pending legal claims</t>
        </is>
      </c>
    </row>
    <row r="153" ht="15" customHeight="1">
      <c r="A153" s="34" t="inlineStr">
        <is>
          <t>TIMELINE: 7-10 days. Then: second meeting with accountant + solicitor.</t>
        </is>
      </c>
    </row>
    <row r="155" ht="15" customHeight="1">
      <c r="A155" s="34" t="inlineStr">
        <is>
          <t>═══════════════════════════════════════════════════════════════════════════════</t>
        </is>
      </c>
    </row>
    <row r="157" ht="15" customHeight="1">
      <c r="A157" s="34" t="inlineStr">
        <is>
          <t>WHAT TO BRING</t>
        </is>
      </c>
    </row>
    <row r="158" ht="15" customHeight="1">
      <c r="A158" s="34" t="inlineStr">
        <is>
          <t>━━━━━━━━━━━━━━━━━━━━━━━━━━━━━━━━━━━━━━━━━━━━━━━━━━━━━━━━━━━━━━━━━━━━━━━━━━━━</t>
        </is>
      </c>
    </row>
    <row r="159" ht="15" customHeight="1">
      <c r="A159" s="34" t="inlineStr">
        <is>
          <t>✓ One-page P&amp;L summary (not overwhelming)</t>
        </is>
      </c>
    </row>
    <row r="160" ht="15" customHeight="1">
      <c r="A160" s="34" t="inlineStr">
        <is>
          <t>✓ Equipment appraisal proposal (draft)</t>
        </is>
      </c>
    </row>
    <row r="161" ht="15" customHeight="1">
      <c r="A161" s="34" t="inlineStr">
        <is>
          <t>✓ Due diligence checklist (to hand over)</t>
        </is>
      </c>
    </row>
    <row r="162" ht="15" customHeight="1">
      <c r="A162" s="34" t="inlineStr">
        <is>
          <t>✓ Notebook (take notes, show you're serious)</t>
        </is>
      </c>
    </row>
    <row r="164" ht="15" customHeight="1">
      <c r="A164" s="34" t="inlineStr">
        <is>
          <t>WHAT NOT TO SAY</t>
        </is>
      </c>
    </row>
    <row r="165" ht="15" customHeight="1">
      <c r="A165" s="34" t="inlineStr">
        <is>
          <t>━━━━━━━━━━━━━━━━━━━━━━━━━━━━━━━━━━━━━━━━━━━━━━━━━━━━━━━━━━━━━━━━━━━━━━━━━━━━</t>
        </is>
      </c>
    </row>
    <row r="166" ht="15" customHeight="1">
      <c r="A166" s="34" t="inlineStr">
        <is>
          <t>✗ "I love this space" (anchors him higher)</t>
        </is>
      </c>
    </row>
    <row r="167" ht="15" customHeight="1">
      <c r="A167" s="34" t="inlineStr">
        <is>
          <t>✗ "I'm ready to close fast" (you lose leverage)</t>
        </is>
      </c>
    </row>
    <row r="168" ht="15" customHeight="1">
      <c r="A168" s="34" t="inlineStr">
        <is>
          <t>✗ "What's your absolute bottom?" (premature)</t>
        </is>
      </c>
    </row>
    <row r="169" ht="15" customHeight="1">
      <c r="A169" s="34" t="inlineStr">
        <is>
          <t>✗ "The clinic will be worth €200K" (he'll want it)</t>
        </is>
      </c>
    </row>
    <row r="170" ht="15" customHeight="1">
      <c r="A170" s="34" t="inlineStr">
        <is>
          <t>✗ Any number &gt; €50K before due diligence (no info yet)</t>
        </is>
      </c>
    </row>
    <row r="172" ht="15" customHeight="1">
      <c r="A172" s="34" t="inlineStr">
        <is>
          <t>═══════════════════════════════════════════════════════════════════════════════</t>
        </is>
      </c>
    </row>
    <row r="174" ht="15" customHeight="1">
      <c r="A174" s="34" t="inlineStr">
        <is>
          <t>POST-MEETING PROTOCOL</t>
        </is>
      </c>
    </row>
    <row r="175" ht="15" customHeight="1">
      <c r="A175" s="34" t="inlineStr">
        <is>
          <t>━━━━━━━━━━━━━━━━━━━━━━━━━━━━━━━━━━━━━━━━━━━━━━━━━━━━━━━━━━━━━━━━━━━━━━━━━━━━</t>
        </is>
      </c>
    </row>
    <row r="176" ht="15" customHeight="1">
      <c r="A176" s="34" t="inlineStr">
        <is>
          <t>SAME DAY:</t>
        </is>
      </c>
    </row>
    <row r="177" ht="15" customHeight="1">
      <c r="A177" s="34" t="inlineStr">
        <is>
          <t>→ Do nothing. Do not email. Your silence is power.</t>
        </is>
      </c>
    </row>
    <row r="179" ht="15" customHeight="1">
      <c r="A179" s="34" t="inlineStr">
        <is>
          <t>24-48 HOURS LATER:</t>
        </is>
      </c>
    </row>
    <row r="180" ht="15" customHeight="1">
      <c r="A180" s="34" t="inlineStr">
        <is>
          <t>→ Brief email (3 sentences max):</t>
        </is>
      </c>
    </row>
    <row r="181" ht="15" customHeight="1">
      <c r="A181" s="34" t="inlineStr">
        <is>
          <t xml:space="preserve">   "Thanks for the time. Team pulling together due diligence request.</t>
        </is>
      </c>
    </row>
    <row r="182" ht="15" customHeight="1">
      <c r="A182" s="34" t="inlineStr">
        <is>
          <t xml:space="preserve">    Happy to connect early next week."</t>
        </is>
      </c>
    </row>
    <row r="184" ht="15" customHeight="1">
      <c r="A184" s="34" t="inlineStr">
        <is>
          <t>48-72 HOURS:</t>
        </is>
      </c>
    </row>
    <row r="185" ht="15" customHeight="1">
      <c r="A185" s="34" t="inlineStr">
        <is>
          <t>→ Formal due diligence request (make it official-looking)</t>
        </is>
      </c>
    </row>
    <row r="186" ht="15" customHeight="1">
      <c r="A186" s="34" t="inlineStr">
        <is>
          <t>→ Hand to solicitor / accountant</t>
        </is>
      </c>
    </row>
    <row r="187" ht="15" customHeight="1">
      <c r="A187" s="34" t="inlineStr">
        <is>
          <t>→ Let them vet in parallel</t>
        </is>
      </c>
    </row>
    <row r="189" ht="15" customHeight="1">
      <c r="A189" s="34" t="inlineStr">
        <is>
          <t>NEXT STEP:</t>
        </is>
      </c>
    </row>
    <row r="190" ht="15" customHeight="1">
      <c r="A190" s="34" t="inlineStr">
        <is>
          <t>→ Second meeting with accountant or solicitor</t>
        </is>
      </c>
    </row>
    <row r="191" ht="15" customHeight="1">
      <c r="A191" s="34" t="inlineStr">
        <is>
          <t>→ Now you have verified information</t>
        </is>
      </c>
    </row>
    <row r="192" ht="15" customHeight="1">
      <c r="A192" s="34" t="inlineStr">
        <is>
          <t>→ Now you can move numbers</t>
        </is>
      </c>
    </row>
    <row r="194" ht="15" customHeight="1">
      <c r="A194" s="34" t="inlineStr">
        <is>
          <t>═══════════════════════════════════════════════════════════════════════════════</t>
        </is>
      </c>
    </row>
    <row r="196" ht="15" customHeight="1">
      <c r="A196" s="34" t="inlineStr">
        <is>
          <t>KEY FINANCIAL SNAPSHOT</t>
        </is>
      </c>
    </row>
    <row r="197" ht="15" customHeight="1">
      <c r="A197" s="34" t="inlineStr">
        <is>
          <t>━━━━━━━━━━━━━━━━━━━━━━━━━━━━━━━━━━━━━━━━━━━━━━━━━━━━━━━━━━━━━━━━━━━━━━━━━━━━</t>
        </is>
      </c>
    </row>
    <row r="198" ht="15" customHeight="1">
      <c r="A198" s="34" t="inlineStr">
        <is>
          <t>Current Spa Revenue:        €30K/month</t>
        </is>
      </c>
    </row>
    <row r="199" ht="15" customHeight="1">
      <c r="A199" s="34" t="inlineStr">
        <is>
          <t>Current Spa EBITDA:         €83.7K/year</t>
        </is>
      </c>
    </row>
    <row r="200" ht="15" customHeight="1">
      <c r="A200" s="34" t="inlineStr">
        <is>
          <t>With Clinic Ramp:           €123.4K/year (your Base Case)</t>
        </is>
      </c>
    </row>
    <row r="201" ht="15" customHeight="1">
      <c r="A201" s="34" t="inlineStr">
        <is>
          <t>Market Multiple:            1.2-1.5x EBITDA</t>
        </is>
      </c>
    </row>
    <row r="202" ht="15" customHeight="1">
      <c r="A202" s="34" t="inlineStr">
        <is>
          <t>Fair Value Range:           €100-185K</t>
        </is>
      </c>
    </row>
    <row r="203" ht="15" customHeight="1">
      <c r="A203" s="34" t="inlineStr">
        <is>
          <t>Your Opening:               €45,000</t>
        </is>
      </c>
    </row>
    <row r="204" ht="15" customHeight="1">
      <c r="A204" s="34" t="inlineStr">
        <is>
          <t>Your Target:                €120,000</t>
        </is>
      </c>
    </row>
    <row r="205" ht="15" customHeight="1">
      <c r="A205" s="34" t="inlineStr">
        <is>
          <t>Your Walk-Away (Internal):  €200,000</t>
        </is>
      </c>
    </row>
    <row r="207" ht="15" customHeight="1">
      <c r="A207" s="34" t="inlineStr">
        <is>
          <t>═══════════════════════════════════════════════════════════════════════════════</t>
        </is>
      </c>
    </row>
    <row r="209" ht="15" customHeight="1">
      <c r="A209" s="34" t="inlineStr">
        <is>
          <t>FINAL MINDSET</t>
        </is>
      </c>
    </row>
    <row r="210" ht="15" customHeight="1">
      <c r="A210" s="34" t="inlineStr">
        <is>
          <t>━━━━━━━━━━━━━━━━━━━━━━━━━━━━━━━━━━━━━━━━━━━━━━━━━━━━━━━━━━━━━━━━━━━━━━━━━━━━</t>
        </is>
      </c>
    </row>
    <row r="211" ht="15" customHeight="1">
      <c r="A211" s="34" t="inlineStr">
        <is>
          <t>You are not desperate. You have a clinic already working. You're evaluating</t>
        </is>
      </c>
    </row>
    <row r="212" ht="15" customHeight="1">
      <c r="A212" s="34" t="inlineStr">
        <is>
          <t>whether this asset adds value. He's bleeding money. The power is yours.</t>
        </is>
      </c>
    </row>
    <row r="214" ht="15" customHeight="1">
      <c r="A214" s="34" t="inlineStr">
        <is>
          <t>Enter calm. Listen hard. Don't rush. Concede slowly. Walk away if math</t>
        </is>
      </c>
    </row>
    <row r="215" ht="15" customHeight="1">
      <c r="A215" s="34" t="inlineStr">
        <is>
          <t>doesn't work.</t>
        </is>
      </c>
    </row>
    <row r="217" ht="15" customHeight="1">
      <c r="A217" s="34" t="inlineStr">
        <is>
          <t>The best negotiators know when to walk away.</t>
        </is>
      </c>
    </row>
    <row r="219" ht="15" customHeight="1">
      <c r="A219" s="34" t="inlineStr">
        <is>
          <t>YOU KNOW HOW TO WALK AWAY.</t>
        </is>
      </c>
    </row>
    <row r="221" ht="15" customHeight="1">
      <c r="A221" s="34" t="inlineStr">
        <is>
          <t>Go negotiate like it.</t>
        </is>
      </c>
    </row>
    <row r="223" ht="15" customHeight="1">
      <c r="A223" s="34"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333"/>
  <sheetViews>
    <sheetView workbookViewId="0">
      <selection activeCell="A1" sqref="A1"/>
    </sheetView>
  </sheetViews>
  <sheetFormatPr baseColWidth="8" defaultRowHeight="15"/>
  <cols>
    <col width="180" customWidth="1" min="1" max="1"/>
  </cols>
  <sheetData>
    <row r="1" ht="15" customHeight="1">
      <c r="A1" s="34" t="inlineStr">
        <is>
          <t># INA Spa Malta — Acquisition Execution Index</t>
        </is>
      </c>
    </row>
    <row r="2" ht="15" customHeight="1">
      <c r="A2" s="34" t="inlineStr">
        <is>
          <t>## Complete Roadmap: Plan → Analysis → Negotiation → Close</t>
        </is>
      </c>
    </row>
    <row r="4" ht="15" customHeight="1">
      <c r="A4" s="34" t="inlineStr">
        <is>
          <t>**Prepared:** February 22, 2026</t>
        </is>
      </c>
    </row>
    <row r="5" ht="15" customHeight="1">
      <c r="A5" s="34" t="inlineStr">
        <is>
          <t>**Status:** Ready for Seller Meeting</t>
        </is>
      </c>
    </row>
    <row r="6" ht="15" customHeight="1">
      <c r="A6" s="34" t="inlineStr">
        <is>
          <t>**Last Updated:** Feb 22, 2026</t>
        </is>
      </c>
    </row>
    <row r="8" ht="15" customHeight="1">
      <c r="A8" s="34" t="inlineStr">
        <is>
          <t>---</t>
        </is>
      </c>
    </row>
    <row r="10" ht="15" customHeight="1">
      <c r="A10" s="34" t="inlineStr">
        <is>
          <t>## Your Complete Toolkit</t>
        </is>
      </c>
    </row>
    <row r="12" ht="15" customHeight="1">
      <c r="A12" s="34" t="inlineStr">
        <is>
          <t>You now have 4 integrated documents that work together to execute this acquisition:</t>
        </is>
      </c>
    </row>
    <row r="14" ht="15" customHeight="1">
      <c r="A14" s="34" t="inlineStr">
        <is>
          <t>### 1. **INA-Spa-Consolidated-Model.xlsx** (The Financial Foundation)</t>
        </is>
      </c>
    </row>
    <row r="15" ht="15" customHeight="1">
      <c r="A15" s="34" t="inlineStr">
        <is>
          <t>**Purpose:** Quantified business analysis with scenarios</t>
        </is>
      </c>
    </row>
    <row r="16" ht="15" customHeight="1">
      <c r="A16" s="34" t="inlineStr">
        <is>
          <t>**Use When:** Due diligence, post-meeting analysis, decision validation</t>
        </is>
      </c>
    </row>
    <row r="17" ht="15" customHeight="1">
      <c r="A17" s="34" t="inlineStr">
        <is>
          <t>**Contains:**</t>
        </is>
      </c>
    </row>
    <row r="18" ht="15" customHeight="1">
      <c r="A18" s="34" t="inlineStr">
        <is>
          <t>- Sheet 1: Assumptions &amp; Staffing (detailed payroll model, cost breakdown)</t>
        </is>
      </c>
    </row>
    <row r="19" ht="15" customHeight="1">
      <c r="A19" s="34" t="inlineStr">
        <is>
          <t>- Sheet 2: Monthly P&amp;L (seasonality, clinic timing, cash flow)</t>
        </is>
      </c>
    </row>
    <row r="20" ht="15" customHeight="1">
      <c r="A20" s="34" t="inlineStr">
        <is>
          <t>- Sheet 3: Annual Summary &amp; KPIs (year-1 totals, efficiency ratios)</t>
        </is>
      </c>
    </row>
    <row r="21" ht="15" customHeight="1">
      <c r="A21" s="34" t="inlineStr">
        <is>
          <t>- Sheet 4: Negotiation &amp; Key Considerations (arguments, power scripts, checkpoints)</t>
        </is>
      </c>
    </row>
    <row r="22" ht="15" customHeight="1">
      <c r="A22" s="34" t="inlineStr">
        <is>
          <t>- Sheet 5: Sensitivity Analysis - Revised (payback periods across scenarios)</t>
        </is>
      </c>
    </row>
    <row r="24" ht="15" customHeight="1">
      <c r="A24" s="34" t="inlineStr">
        <is>
          <t>**Key Numbers from Model:**</t>
        </is>
      </c>
    </row>
    <row r="25" ht="15" customHeight="1">
      <c r="A25" s="34" t="inlineStr">
        <is>
          <t>- Conservative Case: €72.5K EBITDA/year (spa only, no clinic) → 4.14-6.90 year payback</t>
        </is>
      </c>
    </row>
    <row r="26" ht="15" customHeight="1">
      <c r="A26" s="34" t="inlineStr">
        <is>
          <t>- Base Case: €123.4K EBITDA/year (spa + clinic ramp) → 2.43-4.05 year payback ← **YOUR PRICING BASIS**</t>
        </is>
      </c>
    </row>
    <row r="27" ht="15" customHeight="1">
      <c r="A27" s="34" t="inlineStr">
        <is>
          <t>- Optimistic Case: €387.6K EBITDA/year (spa + clinic peak) → 0.77-1.29 year payback</t>
        </is>
      </c>
    </row>
    <row r="29" ht="15" customHeight="1">
      <c r="A29" s="34" t="inlineStr">
        <is>
          <t>---</t>
        </is>
      </c>
    </row>
    <row r="31" ht="15" customHeight="1">
      <c r="A31" s="34" t="inlineStr">
        <is>
          <t>### 2. **Strategic Plan (starry-snacking-newell.md)** (The Master Strategy)</t>
        </is>
      </c>
    </row>
    <row r="32" ht="15" customHeight="1">
      <c r="A32" s="34" t="inlineStr">
        <is>
          <t>**Purpose:** Comprehensive M&amp;A framework covering all phases</t>
        </is>
      </c>
    </row>
    <row r="33" ht="15" customHeight="1">
      <c r="A33" s="34" t="inlineStr">
        <is>
          <t>**Use When:** Reviewing overall approach, understanding red lines, planning post-close</t>
        </is>
      </c>
    </row>
    <row r="34" ht="15" customHeight="1">
      <c r="A34" s="34" t="inlineStr">
        <is>
          <t>**Contains:**</t>
        </is>
      </c>
    </row>
    <row r="35" ht="15" customHeight="1">
      <c r="A35" s="34" t="inlineStr">
        <is>
          <t>- Situation analysis and power dynamics</t>
        </is>
      </c>
    </row>
    <row r="36" ht="15" customHeight="1">
      <c r="A36" s="34" t="inlineStr">
        <is>
          <t>- Three valuation numbers (anchor, target, walk-away)</t>
        </is>
      </c>
    </row>
    <row r="37" ht="15" customHeight="1">
      <c r="A37" s="34" t="inlineStr">
        <is>
          <t>- Equipment valuation framework (€213-316K FMV)</t>
        </is>
      </c>
    </row>
    <row r="38" ht="15" customHeight="1">
      <c r="A38" s="34" t="inlineStr">
        <is>
          <t>- Lease value analysis (€509K NPV if rent is €5K/month)</t>
        </is>
      </c>
    </row>
    <row r="39" ht="15" customHeight="1">
      <c r="A39" s="34" t="inlineStr">
        <is>
          <t>- Deal structure options (lump sum vs. phased vs. lease-only)</t>
        </is>
      </c>
    </row>
    <row r="40" ht="15" customHeight="1">
      <c r="A40" s="34" t="inlineStr">
        <is>
          <t>- Ackermann concession sequence (generic version)</t>
        </is>
      </c>
    </row>
    <row r="41" ht="15" customHeight="1">
      <c r="A41" s="34" t="inlineStr">
        <is>
          <t>- Sunk cost redirect scripts</t>
        </is>
      </c>
    </row>
    <row r="42" ht="15" customHeight="1">
      <c r="A42" s="34" t="inlineStr">
        <is>
          <t>- 4-act meeting structure</t>
        </is>
      </c>
    </row>
    <row r="43" ht="15" customHeight="1">
      <c r="A43" s="34" t="inlineStr">
        <is>
          <t>- Due diligence checklist (11-item)</t>
        </is>
      </c>
    </row>
    <row r="44" ht="15" customHeight="1">
      <c r="A44" s="34" t="inlineStr">
        <is>
          <t>- Red lines (6 walk-away triggers)</t>
        </is>
      </c>
    </row>
    <row r="45" ht="15" customHeight="1">
      <c r="A45" s="34" t="inlineStr">
        <is>
          <t>- Post-meeting protocol</t>
        </is>
      </c>
    </row>
    <row r="47" ht="15" customHeight="1">
      <c r="A47" s="34" t="inlineStr">
        <is>
          <t>**Key Strategic Insights:**</t>
        </is>
      </c>
    </row>
    <row r="48" ht="15" customHeight="1">
      <c r="A48" s="34" t="inlineStr">
        <is>
          <t>- Your power is INFORMATION ASYMMETRY: You know your clinic model works; seller doesn't</t>
        </is>
      </c>
    </row>
    <row r="49" ht="15" customHeight="1">
      <c r="A49" s="34" t="inlineStr">
        <is>
          <t>- Rent is the most important variable (affects valuation by €100K+)</t>
        </is>
      </c>
    </row>
    <row r="50" ht="15" customHeight="1">
      <c r="A50" s="34" t="inlineStr">
        <is>
          <t>- Lease premium is hidden asset (€254-509K NPV depending on below-market rent)</t>
        </is>
      </c>
    </row>
    <row r="51" ht="15" customHeight="1">
      <c r="A51" s="34" t="inlineStr">
        <is>
          <t>- Deal structure should align seller incentives with your success</t>
        </is>
      </c>
    </row>
    <row r="53" ht="15" customHeight="1">
      <c r="A53" s="34" t="inlineStr">
        <is>
          <t>---</t>
        </is>
      </c>
    </row>
    <row r="55" ht="15" customHeight="1">
      <c r="A55" s="34" t="inlineStr">
        <is>
          <t>### 3. **INA-NEGOTIATION-BRIEFING.md** (The Customized Playbook)</t>
        </is>
      </c>
    </row>
    <row r="56" ht="15" customHeight="1">
      <c r="A56" s="34" t="inlineStr">
        <is>
          <t>**Purpose:** Tactical negotiation guide with specific numbers and scripts</t>
        </is>
      </c>
    </row>
    <row r="57" ht="15" customHeight="1">
      <c r="A57" s="34" t="inlineStr">
        <is>
          <t>**Use When:** In meeting, handling objections, executing concessions</t>
        </is>
      </c>
    </row>
    <row r="58" ht="15" customHeight="1">
      <c r="A58" s="34" t="inlineStr">
        <is>
          <t>**Contains:**</t>
        </is>
      </c>
    </row>
    <row r="59" ht="15" customHeight="1">
      <c r="A59" s="34" t="inlineStr">
        <is>
          <t>- Your position at a glance (updated financials vs. seller's perception)</t>
        </is>
      </c>
    </row>
    <row r="60" ht="15" customHeight="1">
      <c r="A60" s="34" t="inlineStr">
        <is>
          <t>- Updated three numbers: €45K anchor, €120K target, €200K walk-away</t>
        </is>
      </c>
    </row>
    <row r="61" ht="15" customHeight="1">
      <c r="A61" s="34" t="inlineStr">
        <is>
          <t>- Financial story script (sunk cost redirect with your P&amp;L)</t>
        </is>
      </c>
    </row>
    <row r="62" ht="15" customHeight="1">
      <c r="A62" s="34" t="inlineStr">
        <is>
          <t>- Customized Ackermann sequence (€45K → €72K → €96K → €114K → €119.75K)</t>
        </is>
      </c>
    </row>
    <row r="63" ht="15" customHeight="1">
      <c r="A63" s="34" t="inlineStr">
        <is>
          <t>- Act 1 script: Intelligence gathering (5 questions + tactical moves)</t>
        </is>
      </c>
    </row>
    <row r="64" ht="15" customHeight="1">
      <c r="A64" s="34" t="inlineStr">
        <is>
          <t>- Act 2 script: Value reframe (€1M sunk cost handling)</t>
        </is>
      </c>
    </row>
    <row r="65" ht="15" customHeight="1">
      <c r="A65" s="34" t="inlineStr">
        <is>
          <t>- Act 3 script: The offer (opening line + response playbook)</t>
        </is>
      </c>
    </row>
    <row r="66" ht="15" customHeight="1">
      <c r="A66" s="34" t="inlineStr">
        <is>
          <t>- Act 4 script: Close or exit (trial close + exit lines)</t>
        </is>
      </c>
    </row>
    <row r="67" ht="15" customHeight="1">
      <c r="A67" s="34" t="inlineStr">
        <is>
          <t>- Due diligence checklist (formatted for handover)</t>
        </is>
      </c>
    </row>
    <row r="68" ht="15" customHeight="1">
      <c r="A68" s="34" t="inlineStr">
        <is>
          <t>- Post-meeting protocol (timing + communication rules)</t>
        </is>
      </c>
    </row>
    <row r="70" ht="15" customHeight="1">
      <c r="A70" s="34" t="inlineStr">
        <is>
          <t>**Most Important Section:**</t>
        </is>
      </c>
    </row>
    <row r="71" ht="15" customHeight="1">
      <c r="A71" s="34" t="inlineStr">
        <is>
          <t>The Ackermann Sequence is now customized to your Base Case EBITDA (€123.4K/year):</t>
        </is>
      </c>
    </row>
    <row r="72" ht="15" customHeight="1">
      <c r="A72" s="34" t="inlineStr">
        <is>
          <t>- Each move is smaller than the last (€27K → €24K → €18K → €5.75K)</t>
        </is>
      </c>
    </row>
    <row r="73" ht="15" customHeight="1">
      <c r="A73" s="34" t="inlineStr">
        <is>
          <t>- Each move is conditional (tied to real verification, not arbitrary)</t>
        </is>
      </c>
    </row>
    <row r="74" ht="15" customHeight="1">
      <c r="A74" s="34" t="inlineStr">
        <is>
          <t>- Final number is non-round (€119.75K signals precision, not negotiation room)</t>
        </is>
      </c>
    </row>
    <row r="76" ht="15" customHeight="1">
      <c r="A76" s="34" t="inlineStr">
        <is>
          <t>---</t>
        </is>
      </c>
    </row>
    <row r="78" ht="15" customHeight="1">
      <c r="A78" s="34" t="inlineStr">
        <is>
          <t>### 4. **INA-MEETING-QUICK-REFERENCE.txt** (The One-Pager)</t>
        </is>
      </c>
    </row>
    <row r="79" ht="15" customHeight="1">
      <c r="A79" s="34" t="inlineStr">
        <is>
          <t>**Purpose:** Tactical cheat sheet for in-meeting reference</t>
        </is>
      </c>
    </row>
    <row r="80" ht="15" customHeight="1">
      <c r="A80" s="34" t="inlineStr">
        <is>
          <t>**Use When:** Actual meeting with seller (keep visible, reference mid-conversation)</t>
        </is>
      </c>
    </row>
    <row r="81" ht="15" customHeight="1">
      <c r="A81" s="34" t="inlineStr">
        <is>
          <t>**Contains:**</t>
        </is>
      </c>
    </row>
    <row r="82" ht="15" customHeight="1">
      <c r="A82" s="34" t="inlineStr">
        <is>
          <t>- Mindset frames (what to repeat before walking in)</t>
        </is>
      </c>
    </row>
    <row r="83" ht="15" customHeight="1">
      <c r="A83" s="34" t="inlineStr">
        <is>
          <t>- Three numbers (for quick recall under pressure)</t>
        </is>
      </c>
    </row>
    <row r="84" ht="15" customHeight="1">
      <c r="A84" s="34" t="inlineStr">
        <is>
          <t>- Five questions in sequence (don't improvise)</t>
        </is>
      </c>
    </row>
    <row r="85" ht="15" customHeight="1">
      <c r="A85" s="34" t="inlineStr">
        <is>
          <t>- Power phrases (for handling objections)</t>
        </is>
      </c>
    </row>
    <row r="86" ht="15" customHeight="1">
      <c r="A86" s="34" t="inlineStr">
        <is>
          <t>- Ackermann sequence (abbreviated version)</t>
        </is>
      </c>
    </row>
    <row r="87" ht="15" customHeight="1">
      <c r="A87" s="34" t="inlineStr">
        <is>
          <t>- Red lines (what triggers walk-away)</t>
        </is>
      </c>
    </row>
    <row r="88" ht="15" customHeight="1">
      <c r="A88" s="34" t="inlineStr">
        <is>
          <t>- Due diligence checklist (to hand over)</t>
        </is>
      </c>
    </row>
    <row r="89" ht="15" customHeight="1">
      <c r="A89" s="34" t="inlineStr">
        <is>
          <t>- What to bring / what NOT to say</t>
        </is>
      </c>
    </row>
    <row r="90" ht="15" customHeight="1">
      <c r="A90" s="34" t="inlineStr">
        <is>
          <t>- Post-meeting protocol</t>
        </is>
      </c>
    </row>
    <row r="92" ht="15" customHeight="1">
      <c r="A92" s="34" t="inlineStr">
        <is>
          <t>---</t>
        </is>
      </c>
    </row>
    <row r="94" ht="15" customHeight="1">
      <c r="A94" s="34" t="inlineStr">
        <is>
          <t>## The Meeting Flow (How to Use These Documents)</t>
        </is>
      </c>
    </row>
    <row r="96" ht="15" customHeight="1">
      <c r="A96" s="34" t="inlineStr">
        <is>
          <t>### **Before Meeting (30 min prior)**</t>
        </is>
      </c>
    </row>
    <row r="97" ht="15" customHeight="1">
      <c r="A97" s="34" t="inlineStr">
        <is>
          <t>1. Read **INA-MEETING-QUICK-REFERENCE.txt** — memorize the mindset frames</t>
        </is>
      </c>
    </row>
    <row r="98" ht="15" customHeight="1">
      <c r="A98" s="34" t="inlineStr">
        <is>
          <t>2. Skim **INA-NEGOTIATION-BRIEFING.md** Act 1 section — know your five questions</t>
        </is>
      </c>
    </row>
    <row r="99" ht="15" customHeight="1">
      <c r="A99" s="34" t="inlineStr">
        <is>
          <t>3. Print: One-page P&amp;L from **INA-Spa-Consolidated-Model.xlsx** (Sheet 2, Annual Summary)</t>
        </is>
      </c>
    </row>
    <row r="100" ht="15" customHeight="1">
      <c r="A100" s="34" t="inlineStr">
        <is>
          <t>4. Print: Due diligence checklist to hand over</t>
        </is>
      </c>
    </row>
    <row r="101" ht="15" customHeight="1">
      <c r="A101" s="34" t="inlineStr">
        <is>
          <t>5. Bring: Notebook (show you're serious)</t>
        </is>
      </c>
    </row>
    <row r="103" ht="15" customHeight="1">
      <c r="A103" s="34" t="inlineStr">
        <is>
          <t>### **During Meeting (90 minutes)**</t>
        </is>
      </c>
    </row>
    <row r="105" ht="15" customHeight="1">
      <c r="A105" s="34" t="inlineStr">
        <is>
          <t>**ACT 1 (20-30 min) — Intelligence Gathering:**</t>
        </is>
      </c>
    </row>
    <row r="106" ht="15" customHeight="1">
      <c r="A106" s="34" t="inlineStr">
        <is>
          <t>- Reference: **INA-MEETING-QUICK-REFERENCE.txt** (The Five Questions section)</t>
        </is>
      </c>
    </row>
    <row r="107" ht="15" customHeight="1">
      <c r="A107" s="34" t="inlineStr">
        <is>
          <t>- Keep open: **INA-NEGOTIATION-BRIEFING.md** Act 1 (your full scripts)</t>
        </is>
      </c>
    </row>
    <row r="108" ht="15" customHeight="1">
      <c r="A108" s="34" t="inlineStr">
        <is>
          <t>- Goal: Extract rent level, revenue reality, his timeline, competition</t>
        </is>
      </c>
    </row>
    <row r="109" ht="15" customHeight="1">
      <c r="A109" s="34" t="inlineStr">
        <is>
          <t>- Tactical: Ask questions in order. Mirror + label. Hold silence.</t>
        </is>
      </c>
    </row>
    <row r="111" ht="15" customHeight="1">
      <c r="A111" s="34" t="inlineStr">
        <is>
          <t>**ACT 2 (20-30 min) — Reframe Value:**</t>
        </is>
      </c>
    </row>
    <row r="112" ht="15" customHeight="1">
      <c r="A112" s="34" t="inlineStr">
        <is>
          <t>- Reference: **INA-NEGOTIATION-BRIEFING.md** Act 2 (The Reframe section)</t>
        </is>
      </c>
    </row>
    <row r="113" ht="15" customHeight="1">
      <c r="A113" s="34" t="inlineStr">
        <is>
          <t>- Show: One-page P&amp;L from the Consolidated Model</t>
        </is>
      </c>
    </row>
    <row r="114" ht="15" customHeight="1">
      <c r="A114" s="34" t="inlineStr">
        <is>
          <t>- Sunk Cost Script: "€1M loss is already gone. Selling stops further losses."</t>
        </is>
      </c>
    </row>
    <row r="115" ht="15" customHeight="1">
      <c r="A115" s="34" t="inlineStr">
        <is>
          <t>- Equipment Move: "Let's get third-party appraisal. Let market decide."</t>
        </is>
      </c>
    </row>
    <row r="117" ht="15" customHeight="1">
      <c r="A117" s="34" t="inlineStr">
        <is>
          <t>**ACT 3 (20-30 min) — The Offer:**</t>
        </is>
      </c>
    </row>
    <row r="118" ht="15" customHeight="1">
      <c r="A118" s="34" t="inlineStr">
        <is>
          <t>- Reference: **INA-MEETING-QUICK-REFERENCE.txt** (The Offer section)</t>
        </is>
      </c>
    </row>
    <row r="119" ht="15" customHeight="1">
      <c r="A119" s="34" t="inlineStr">
        <is>
          <t>- Open with: "€40-50K based on current revenue and equipment value"</t>
        </is>
      </c>
    </row>
    <row r="120" ht="15" customHeight="1">
      <c r="A120" s="34" t="inlineStr">
        <is>
          <t>- SILENCE. Do not fill. Count to 10.</t>
        </is>
      </c>
    </row>
    <row r="121" ht="15" customHeight="1">
      <c r="A121" s="34" t="inlineStr">
        <is>
          <t>- His response determines your next move (all scripted in **INA-NEGOTIATION-BRIEFING.md**)</t>
        </is>
      </c>
    </row>
    <row r="122" ht="15" customHeight="1">
      <c r="A122" s="34" t="inlineStr">
        <is>
          <t>- Use Ackermann sequence conditionally (don't lead with numbers)</t>
        </is>
      </c>
    </row>
    <row r="124" ht="15" customHeight="1">
      <c r="A124" s="34" t="inlineStr">
        <is>
          <t>**ACT 4 (10-15 min) — Close or Exit:**</t>
        </is>
      </c>
    </row>
    <row r="125" ht="15" customHeight="1">
      <c r="A125" s="34" t="inlineStr">
        <is>
          <t>- Trial close (if positive): "Sound like €100-120K lands the deal?"</t>
        </is>
      </c>
    </row>
    <row r="126" ht="15" customHeight="1">
      <c r="A126" s="34" t="inlineStr">
        <is>
          <t>- If yes: "Not closing today. Due diligence first. Fair?"</t>
        </is>
      </c>
    </row>
    <row r="127" ht="15" customHeight="1">
      <c r="A127" s="34" t="inlineStr">
        <is>
          <t>- If far apart: "Different valuations. My team will analyze. I'll be in touch."</t>
        </is>
      </c>
    </row>
    <row r="128" ht="15" customHeight="1">
      <c r="A128" s="34" t="inlineStr">
        <is>
          <t>- Hand over: Due diligence checklist</t>
        </is>
      </c>
    </row>
    <row r="130" ht="15" customHeight="1">
      <c r="A130" s="34" t="inlineStr">
        <is>
          <t>### **After Meeting (Same Day)**</t>
        </is>
      </c>
    </row>
    <row r="131" ht="15" customHeight="1">
      <c r="A131" s="34" t="inlineStr">
        <is>
          <t>- Do NOT email</t>
        </is>
      </c>
    </row>
    <row r="132" ht="15" customHeight="1">
      <c r="A132" s="34" t="inlineStr">
        <is>
          <t>- Do NOT propose new number</t>
        </is>
      </c>
    </row>
    <row r="133" ht="15" customHeight="1">
      <c r="A133" s="34" t="inlineStr">
        <is>
          <t>- Decompress. Your silence is power.</t>
        </is>
      </c>
    </row>
    <row r="135" ht="15" customHeight="1">
      <c r="A135" s="34" t="inlineStr">
        <is>
          <t>### **24-48 Hours Later**</t>
        </is>
      </c>
    </row>
    <row r="136" ht="15" customHeight="1">
      <c r="A136" s="34" t="inlineStr">
        <is>
          <t>- Brief email (3 sentences): "Thanks for time. Team pulling due diligence. Touch base early next week."</t>
        </is>
      </c>
    </row>
    <row r="137" ht="15" customHeight="1">
      <c r="A137" s="34" t="inlineStr">
        <is>
          <t>- Do NOT re-negotiate</t>
        </is>
      </c>
    </row>
    <row r="138" ht="15" customHeight="1">
      <c r="A138" s="34" t="inlineStr">
        <is>
          <t>- Let him think about your offer</t>
        </is>
      </c>
    </row>
    <row r="140" ht="15" customHeight="1">
      <c r="A140" s="34" t="inlineStr">
        <is>
          <t>### **48-72 Hours Later**</t>
        </is>
      </c>
    </row>
    <row r="141" ht="15" customHeight="1">
      <c r="A141" s="34" t="inlineStr">
        <is>
          <t>- Formal due diligence request (via email, make it official)</t>
        </is>
      </c>
    </row>
    <row r="142" ht="15" customHeight="1">
      <c r="A142" s="34" t="inlineStr">
        <is>
          <t>- Hand to solicitor / accountant</t>
        </is>
      </c>
    </row>
    <row r="143" ht="15" customHeight="1">
      <c r="A143" s="34" t="inlineStr">
        <is>
          <t>- Begin parallel vetting</t>
        </is>
      </c>
    </row>
    <row r="145" ht="15" customHeight="1">
      <c r="A145" s="34" t="inlineStr">
        <is>
          <t>### **Second Meeting (7-10 days)**</t>
        </is>
      </c>
    </row>
    <row r="146" ht="15" customHeight="1">
      <c r="A146" s="34" t="inlineStr">
        <is>
          <t>- Bring: Accountant or solicitor</t>
        </is>
      </c>
    </row>
    <row r="147" ht="15" customHeight="1">
      <c r="A147" s="34" t="inlineStr">
        <is>
          <t>- Reference: **INA-NEGOTIATION-BRIEFING.md** (now you have verified info)</t>
        </is>
      </c>
    </row>
    <row r="148" ht="15" customHeight="1">
      <c r="A148" s="34" t="inlineStr">
        <is>
          <t>- Negotiate again with new power (information validated)</t>
        </is>
      </c>
    </row>
    <row r="150" ht="15" customHeight="1">
      <c r="A150" s="34" t="inlineStr">
        <is>
          <t>---</t>
        </is>
      </c>
    </row>
    <row r="152" ht="15" customHeight="1">
      <c r="A152" s="34" t="inlineStr">
        <is>
          <t>## The Economics at a Glance</t>
        </is>
      </c>
    </row>
    <row r="154" ht="15" customHeight="1">
      <c r="A154" s="34" t="inlineStr">
        <is>
          <t>**Your Scenario (Base Case = Most Likely):**</t>
        </is>
      </c>
    </row>
    <row r="156" ht="15" customHeight="1">
      <c r="A156" s="34" t="inlineStr">
        <is>
          <t>| Item | Amount | Notes |</t>
        </is>
      </c>
    </row>
    <row r="157" ht="15" customHeight="1">
      <c r="A157" s="34" t="inlineStr">
        <is>
          <t>|---|---|---|</t>
        </is>
      </c>
    </row>
    <row r="158" ht="15" customHeight="1">
      <c r="A158" s="34" t="inlineStr">
        <is>
          <t>| **Annual Spa Revenue** | €360K | €30K/month baseline |</t>
        </is>
      </c>
    </row>
    <row r="159" ht="15" customHeight="1">
      <c r="A159" s="34" t="inlineStr">
        <is>
          <t>| **Annual Clinic Revenue (M3-12)** | €213K | Ramps €10-20K/month |</t>
        </is>
      </c>
    </row>
    <row r="160" ht="15" customHeight="1">
      <c r="A160" s="34" t="inlineStr">
        <is>
          <t>| **Total Annual Revenue** | €573K | Your realistic Year 1 |</t>
        </is>
      </c>
    </row>
    <row r="161" ht="15" customHeight="1">
      <c r="A161" s="34" t="inlineStr">
        <is>
          <t>| **Annual Payroll** | €272.4K | Spa + clinic staff, partial year |</t>
        </is>
      </c>
    </row>
    <row r="162" ht="15" customHeight="1">
      <c r="A162" s="34" t="inlineStr">
        <is>
          <t>| **Annual OpEx** | €177.2K | Rent €96K + utilities, COGS, services |</t>
        </is>
      </c>
    </row>
    <row r="163" ht="15" customHeight="1">
      <c r="A163" s="34" t="inlineStr">
        <is>
          <t>| **Annual EBITDA** | €123.4K | Your valuation basis |</t>
        </is>
      </c>
    </row>
    <row r="164" ht="15" customHeight="1">
      <c r="A164" s="34" t="inlineStr">
        <is>
          <t>| | | |</t>
        </is>
      </c>
    </row>
    <row r="165" ht="15" customHeight="1">
      <c r="A165" s="34" t="inlineStr">
        <is>
          <t>| **Valuation at 1.0x EBITDA** | €123K | Floor (highly distressed) |</t>
        </is>
      </c>
    </row>
    <row r="166" ht="15" customHeight="1">
      <c r="A166" s="34" t="inlineStr">
        <is>
          <t>| **Valuation at 1.2x EBITDA** | €148K | Fair market (risk-adjusted) |</t>
        </is>
      </c>
    </row>
    <row r="167" ht="15" customHeight="1">
      <c r="A167" s="34" t="inlineStr">
        <is>
          <t>| **Valuation at 1.5x EBITDA** | €185K | Premium (very confident seller) |</t>
        </is>
      </c>
    </row>
    <row r="168" ht="15" customHeight="1">
      <c r="A168" s="34" t="inlineStr">
        <is>
          <t>| | | |</t>
        </is>
      </c>
    </row>
    <row r="169" ht="15" customHeight="1">
      <c r="A169" s="34" t="inlineStr">
        <is>
          <t>| **Your Opening Offer** | €45K | Equipment only, distressed |</t>
        </is>
      </c>
    </row>
    <row r="170" ht="15" customHeight="1">
      <c r="A170" s="34" t="inlineStr">
        <is>
          <t>| **Your Target Landing** | €120K | Lease + equipment, reasonable |</t>
        </is>
      </c>
    </row>
    <row r="171" ht="15" customHeight="1">
      <c r="A171" s="34" t="inlineStr">
        <is>
          <t>| **Your Walk-Away Max** | €200K | Only if rent ≤€5.5K, zero liabilities |</t>
        </is>
      </c>
    </row>
    <row r="173" ht="15" customHeight="1">
      <c r="A173" s="34" t="inlineStr">
        <is>
          <t>**Payback at Your Target (€120K investment):**</t>
        </is>
      </c>
    </row>
    <row r="174" ht="15" customHeight="1">
      <c r="A174" s="34" t="inlineStr">
        <is>
          <t>- Year 1 EBITDA: €123.4K</t>
        </is>
      </c>
    </row>
    <row r="175" ht="15" customHeight="1">
      <c r="A175" s="34" t="inlineStr">
        <is>
          <t>- Simple payback: 1.16 years (less than 14 months)</t>
        </is>
      </c>
    </row>
    <row r="176" ht="15" customHeight="1">
      <c r="A176" s="34" t="inlineStr">
        <is>
          <t>- IRR: Exceptionally high (€123K free cash in Year 1 on €120K investment)</t>
        </is>
      </c>
    </row>
    <row r="177" ht="15" customHeight="1">
      <c r="A177" s="34" t="inlineStr">
        <is>
          <t>- Lease runway: 13 years (optionality to scale, exit, or hybrid)</t>
        </is>
      </c>
    </row>
    <row r="179" ht="15" customHeight="1">
      <c r="A179" s="34" t="inlineStr">
        <is>
          <t>**Why You Win This Deal:**</t>
        </is>
      </c>
    </row>
    <row r="180" ht="15" customHeight="1">
      <c r="A180" s="34" t="inlineStr">
        <is>
          <t>1. **Information advantage:** You know clinic scaling model; seller doesn't</t>
        </is>
      </c>
    </row>
    <row r="181" ht="15" customHeight="1">
      <c r="A181" s="34" t="inlineStr">
        <is>
          <t>2. **Financial advantage:** You can bootstrap from Year 1 cash; seller is bleeding</t>
        </is>
      </c>
    </row>
    <row r="182" ht="15" customHeight="1">
      <c r="A182" s="34" t="inlineStr">
        <is>
          <t>3. **Operational advantage:** You have therapist network, clinic systems; seller is isolated</t>
        </is>
      </c>
    </row>
    <row r="183" ht="15" customHeight="1">
      <c r="A183" s="34" t="inlineStr">
        <is>
          <t>4. **Time advantage:** You have zero urgency; seller loses €1-2K/month</t>
        </is>
      </c>
    </row>
    <row r="184" ht="15" customHeight="1">
      <c r="A184" s="34" t="inlineStr">
        <is>
          <t>5. **Strategic advantage:** Lease premium is €254K+ (your hidden asset, seller doesn't know value)</t>
        </is>
      </c>
    </row>
    <row r="186" ht="15" customHeight="1">
      <c r="A186" s="34" t="inlineStr">
        <is>
          <t>---</t>
        </is>
      </c>
    </row>
    <row r="188" ht="15" customHeight="1">
      <c r="A188" s="34" t="inlineStr">
        <is>
          <t>## Decision Points &amp; Red Lines</t>
        </is>
      </c>
    </row>
    <row r="190" ht="15" customHeight="1">
      <c r="A190" s="34" t="inlineStr">
        <is>
          <t>### **Walk Away If Any Of These Are True:**</t>
        </is>
      </c>
    </row>
    <row r="192" ht="15" customHeight="1">
      <c r="A192" s="34" t="inlineStr">
        <is>
          <t>| Condition | Why It's Fatal | Your Action |</t>
        </is>
      </c>
    </row>
    <row r="193" ht="15" customHeight="1">
      <c r="A193" s="34" t="inlineStr">
        <is>
          <t>|---|---|---|</t>
        </is>
      </c>
    </row>
    <row r="194" ht="15" customHeight="1">
      <c r="A194" s="34" t="inlineStr">
        <is>
          <t>| Rent &gt; €10K/month AND seller anchors &gt; €200K | Math completely breaks | Exit immediately |</t>
        </is>
      </c>
    </row>
    <row r="195" ht="15" customHeight="1">
      <c r="A195" s="34" t="inlineStr">
        <is>
          <t>| Undisclosed equipment financing exists | Hidden liabilities will sink you | Exit immediately |</t>
        </is>
      </c>
    </row>
    <row r="196" ht="15" customHeight="1">
      <c r="A196" s="34" t="inlineStr">
        <is>
          <t>| Landlord assignment uncertain | Can't take lease, whole deal dies | Exit immediately |</t>
        </is>
      </c>
    </row>
    <row r="197" ht="15" customHeight="1">
      <c r="A197" s="34" t="inlineStr">
        <is>
          <t>| Revenue actually €15-20K (not €30K) | Seller misrepresented baseline | Exit immediately |</t>
        </is>
      </c>
    </row>
    <row r="198" ht="15" customHeight="1">
      <c r="A198" s="34" t="inlineStr">
        <is>
          <t>| Unresolved Numi legal exposure | Unknown liability hangover | Exit immediately |</t>
        </is>
      </c>
    </row>
    <row r="199" ht="15" customHeight="1">
      <c r="A199" s="34" t="inlineStr">
        <is>
          <t>| After 3 Ackermann moves, still &gt; €250K | Too far apart, different value systems | Exit gracefully |</t>
        </is>
      </c>
    </row>
    <row r="201" ht="15" customHeight="1">
      <c r="A201" s="34" t="inlineStr">
        <is>
          <t>**Your exit line (memorized):**</t>
        </is>
      </c>
    </row>
    <row r="202" ht="15" customHeight="1">
      <c r="A202" s="34" t="inlineStr">
        <is>
          <t>&gt; "I appreciate the time. I'm serious about this, but only works if numbers make sense. Right now they don't. If things shift, I'm here. But I won't stretch on price. I'll move on calmly, and so should you."</t>
        </is>
      </c>
    </row>
    <row r="204" ht="15" customHeight="1">
      <c r="A204" s="34" t="inlineStr">
        <is>
          <t>---</t>
        </is>
      </c>
    </row>
    <row r="206" ht="15" customHeight="1">
      <c r="A206" s="34" t="inlineStr">
        <is>
          <t>## Key Information You MUST Gather in Act 1</t>
        </is>
      </c>
    </row>
    <row r="208" ht="15" customHeight="1">
      <c r="A208" s="34" t="inlineStr">
        <is>
          <t>| Question | Why Critical | What Changes If... |</t>
        </is>
      </c>
    </row>
    <row r="209" ht="15" customHeight="1">
      <c r="A209" s="34" t="inlineStr">
        <is>
          <t>|---|---|---|</t>
        </is>
      </c>
    </row>
    <row r="210" ht="15" customHeight="1">
      <c r="A210" s="34" t="inlineStr">
        <is>
          <t>| **What's the actual monthly rent?** | Valuation changes ±€100K | €5K vs. €12K = different offer entirely |</t>
        </is>
      </c>
    </row>
    <row r="211" ht="15" customHeight="1">
      <c r="A211" s="34" t="inlineStr">
        <is>
          <t>| **What's actual monthly revenue?** | EBITDA changes ±€50K | €20K vs. €30K = different scenarios |</t>
        </is>
      </c>
    </row>
    <row r="212" ht="15" customHeight="1">
      <c r="A212" s="34" t="inlineStr">
        <is>
          <t>| **What's the timeline pressure?** | Determines leverage | "ASAP" vs. "no rush" = different strategy |</t>
        </is>
      </c>
    </row>
    <row r="213" ht="15" customHeight="1">
      <c r="A213" s="34" t="inlineStr">
        <is>
          <t>| **Are there other offers?** | Determines competition | "Just you" vs. "few conversations" = different pacing |</t>
        </is>
      </c>
    </row>
    <row r="214" ht="15" customHeight="1">
      <c r="A214" s="34" t="inlineStr">
        <is>
          <t>| **What would "successful exit" look like?** | Reveals his priorities | Cash only? Earn-out? Employee protection? |</t>
        </is>
      </c>
    </row>
    <row r="216" ht="15" customHeight="1">
      <c r="A216" s="34" t="inlineStr">
        <is>
          <t>**If you get answers to these 5 questions, you control the negotiation.**</t>
        </is>
      </c>
    </row>
    <row r="218" ht="15" customHeight="1">
      <c r="A218" s="34" t="inlineStr">
        <is>
          <t>---</t>
        </is>
      </c>
    </row>
    <row r="220" ht="15" customHeight="1">
      <c r="A220" s="34" t="inlineStr">
        <is>
          <t>## The Complete Sequence</t>
        </is>
      </c>
    </row>
    <row r="222" ht="15" customHeight="1">
      <c r="A222" s="34" t="inlineStr">
        <is>
          <t>```</t>
        </is>
      </c>
    </row>
    <row r="223" ht="15" customHeight="1">
      <c r="A223" s="34" t="inlineStr">
        <is>
          <t>START HERE</t>
        </is>
      </c>
    </row>
    <row r="224" ht="15" customHeight="1">
      <c r="A224" s="34" t="inlineStr">
        <is>
          <t xml:space="preserve">    ↓</t>
        </is>
      </c>
    </row>
    <row r="225" ht="15" customHeight="1">
      <c r="A225" s="34" t="inlineStr">
        <is>
          <t>Day 1: Read Quick Reference + Negotiation Briefing (Act 1)</t>
        </is>
      </c>
    </row>
    <row r="226" ht="15" customHeight="1">
      <c r="A226" s="34" t="inlineStr">
        <is>
          <t xml:space="preserve">    ↓</t>
        </is>
      </c>
    </row>
    <row r="227" ht="15" customHeight="1">
      <c r="A227" s="34" t="inlineStr">
        <is>
          <t>Day 1: Meeting with seller (90 minutes, 4 acts)</t>
        </is>
      </c>
    </row>
    <row r="228" ht="15" customHeight="1">
      <c r="A228" s="34" t="inlineStr">
        <is>
          <t xml:space="preserve">    ↓</t>
        </is>
      </c>
    </row>
    <row r="229" ht="15" customHeight="1">
      <c r="A229" s="34" t="inlineStr">
        <is>
          <t>Day 2: Wait 24 hours. Do nothing.</t>
        </is>
      </c>
    </row>
    <row r="230" ht="15" customHeight="1">
      <c r="A230" s="34" t="inlineStr">
        <is>
          <t xml:space="preserve">    ↓</t>
        </is>
      </c>
    </row>
    <row r="231" ht="15" customHeight="1">
      <c r="A231" s="34" t="inlineStr">
        <is>
          <t>Day 3: Brief email only. "Thanks for time. Team pulling due diligence."</t>
        </is>
      </c>
    </row>
    <row r="232" ht="15" customHeight="1">
      <c r="A232" s="34" t="inlineStr">
        <is>
          <t xml:space="preserve">    ↓</t>
        </is>
      </c>
    </row>
    <row r="233" ht="15" customHeight="1">
      <c r="A233" s="34" t="inlineStr">
        <is>
          <t>Day 4-5: Formal due diligence request. Hand to solicitor/accountant.</t>
        </is>
      </c>
    </row>
    <row r="234" ht="15" customHeight="1">
      <c r="A234" s="34" t="inlineStr">
        <is>
          <t xml:space="preserve">    ↓</t>
        </is>
      </c>
    </row>
    <row r="235" ht="15" customHeight="1">
      <c r="A235" s="34" t="inlineStr">
        <is>
          <t>Day 6-10: Parallel vetting of P&amp;L, bank statements, lease, landlord approval</t>
        </is>
      </c>
    </row>
    <row r="236" ht="15" customHeight="1">
      <c r="A236" s="34" t="inlineStr">
        <is>
          <t xml:space="preserve">    ↓</t>
        </is>
      </c>
    </row>
    <row r="237" ht="15" customHeight="1">
      <c r="A237" s="34" t="inlineStr">
        <is>
          <t>Day 10-11: Second meeting with accountant/solicitor</t>
        </is>
      </c>
    </row>
    <row r="238" ht="15" customHeight="1">
      <c r="A238" s="34" t="inlineStr">
        <is>
          <t xml:space="preserve">    ↓</t>
        </is>
      </c>
    </row>
    <row r="239" ht="15" customHeight="1">
      <c r="A239" s="34" t="inlineStr">
        <is>
          <t>Final Move: If all clean, move Ackermann sequence → close at target price</t>
        </is>
      </c>
    </row>
    <row r="240" ht="15" customHeight="1">
      <c r="A240" s="34" t="inlineStr">
        <is>
          <t xml:space="preserve">    ↓</t>
        </is>
      </c>
    </row>
    <row r="241" ht="15" customHeight="1">
      <c r="A241" s="34" t="inlineStr">
        <is>
          <t>OWNERSHIP</t>
        </is>
      </c>
    </row>
    <row r="242" ht="15" customHeight="1">
      <c r="A242" s="34" t="inlineStr">
        <is>
          <t>```</t>
        </is>
      </c>
    </row>
    <row r="244" ht="15" customHeight="1">
      <c r="A244" s="34" t="inlineStr">
        <is>
          <t>---</t>
        </is>
      </c>
    </row>
    <row r="246" ht="15" customHeight="1">
      <c r="A246" s="34" t="inlineStr">
        <is>
          <t>## Files &amp; Their Purposes (Quick Lookup)</t>
        </is>
      </c>
    </row>
    <row r="248" ht="15" customHeight="1">
      <c r="A248" s="34" t="inlineStr">
        <is>
          <t>| File | Use Case | Bring to Meeting? |</t>
        </is>
      </c>
    </row>
    <row r="249" ht="15" customHeight="1">
      <c r="A249" s="34" t="inlineStr">
        <is>
          <t>|---|---|---|</t>
        </is>
      </c>
    </row>
    <row r="250" ht="15" customHeight="1">
      <c r="A250" s="34" t="inlineStr">
        <is>
          <t>| **INA-Spa-Consolidated-Model.xlsx** | Financial validation, scenario analysis | Print Sheet 3 one-pager only |</t>
        </is>
      </c>
    </row>
    <row r="251" ht="15" customHeight="1">
      <c r="A251" s="34" t="inlineStr">
        <is>
          <t>| **Strategic Plan (in plan mode)** | Review overall strategy, understand red lines | No (reference only) |</t>
        </is>
      </c>
    </row>
    <row r="252" ht="15" customHeight="1">
      <c r="A252" s="34" t="inlineStr">
        <is>
          <t>| **INA-NEGOTIATION-BRIEFING.md** | Read fully before meeting, reference during | Print Act 1 scripts only |</t>
        </is>
      </c>
    </row>
    <row r="253" ht="15" customHeight="1">
      <c r="A253" s="34" t="inlineStr">
        <is>
          <t>| **INA-MEETING-QUICK-REFERENCE.txt** | Memorize before meeting, bring as backup | Yes (physical copy) |</t>
        </is>
      </c>
    </row>
    <row r="254" ht="15" customHeight="1">
      <c r="A254" s="34" t="inlineStr">
        <is>
          <t>| **This Execution Index** | Navigate between all materials, understand flow | Yes (for reference between meetings) |</t>
        </is>
      </c>
    </row>
    <row r="256" ht="15" customHeight="1">
      <c r="A256" s="34" t="inlineStr">
        <is>
          <t>---</t>
        </is>
      </c>
    </row>
    <row r="258" ht="15" customHeight="1">
      <c r="A258" s="34" t="inlineStr">
        <is>
          <t>## Your Competitive Edge Summary</t>
        </is>
      </c>
    </row>
    <row r="260" ht="15" customHeight="1">
      <c r="A260" s="34" t="inlineStr">
        <is>
          <t>**Why This Deal Works For You (And Why Seller Needs To Say Yes):**</t>
        </is>
      </c>
    </row>
    <row r="262" ht="15" customHeight="1">
      <c r="A262" s="34" t="inlineStr">
        <is>
          <t>**From Your Perspective:**</t>
        </is>
      </c>
    </row>
    <row r="263" ht="15" customHeight="1">
      <c r="A263" s="34" t="inlineStr">
        <is>
          <t>- Clinic model proven (already operational, generating revenue)</t>
        </is>
      </c>
    </row>
    <row r="264" ht="15" customHeight="1">
      <c r="A264" s="34" t="inlineStr">
        <is>
          <t>- Lease is locked for 13 years (no short-term exit risk)</t>
        </is>
      </c>
    </row>
    <row r="265" ht="15" customHeight="1">
      <c r="A265" s="34" t="inlineStr">
        <is>
          <t>- EBITDA ramp is fast (payback in &lt;18 months realistic)</t>
        </is>
      </c>
    </row>
    <row r="266" ht="15" customHeight="1">
      <c r="A266" s="34" t="inlineStr">
        <is>
          <t>- Seller financing is option (aligns incentives, improves IRR)</t>
        </is>
      </c>
    </row>
    <row r="267" ht="15" customHeight="1">
      <c r="A267" s="34" t="inlineStr">
        <is>
          <t>- Equipment already installed (no capex for you)</t>
        </is>
      </c>
    </row>
    <row r="269" ht="15" customHeight="1">
      <c r="A269" s="34" t="inlineStr">
        <is>
          <t>**From Seller's Perspective:**</t>
        </is>
      </c>
    </row>
    <row r="270" ht="15" customHeight="1">
      <c r="A270" s="34" t="inlineStr">
        <is>
          <t>- Business is loss-making at current revenue (he can't fix it)</t>
        </is>
      </c>
    </row>
    <row r="271" ht="15" customHeight="1">
      <c r="A271" s="34" t="inlineStr">
        <is>
          <t>- Cash burn is €1-2K/month (every month costs him)</t>
        </is>
      </c>
    </row>
    <row r="272" ht="15" customHeight="1">
      <c r="A272" s="34" t="inlineStr">
        <is>
          <t>- Equipment value declining (depreciation + maintenance)</t>
        </is>
      </c>
    </row>
    <row r="273" ht="15" customHeight="1">
      <c r="A273" s="34" t="inlineStr">
        <is>
          <t>- Owner fatigue is showing (reached out to YOU, not vice versa)</t>
        </is>
      </c>
    </row>
    <row r="274" ht="15" customHeight="1">
      <c r="A274" s="34" t="inlineStr">
        <is>
          <t>- You're credible buyer with operational track record (clinic proof)</t>
        </is>
      </c>
    </row>
    <row r="276" ht="15" customHeight="1">
      <c r="A276" s="34" t="inlineStr">
        <is>
          <t>**The Only Question That Matters:**</t>
        </is>
      </c>
    </row>
    <row r="277" ht="15" customHeight="1">
      <c r="A277" s="34" t="inlineStr">
        <is>
          <t>Does he want to stop losing money at a price that reflects current reality?</t>
        </is>
      </c>
    </row>
    <row r="279" ht="15" customHeight="1">
      <c r="A279" s="34" t="inlineStr">
        <is>
          <t>If YES: You negotiate at your target (€100-120K).</t>
        </is>
      </c>
    </row>
    <row r="280" ht="15" customHeight="1">
      <c r="A280" s="34" t="inlineStr">
        <is>
          <t>If NO: He's holding for "someday buyer" who values clinic upside. That buyer isn't you.</t>
        </is>
      </c>
    </row>
    <row r="281" ht="15" customHeight="1">
      <c r="A281" s="34" t="inlineStr">
        <is>
          <t>You walk, calmly, knowing you protected your capital.</t>
        </is>
      </c>
    </row>
    <row r="283" ht="15" customHeight="1">
      <c r="A283" s="34" t="inlineStr">
        <is>
          <t>---</t>
        </is>
      </c>
    </row>
    <row r="285" ht="15" customHeight="1">
      <c r="A285" s="34" t="inlineStr">
        <is>
          <t>## Execution Confidence Checklist</t>
        </is>
      </c>
    </row>
    <row r="287" ht="15" customHeight="1">
      <c r="A287" s="34" t="inlineStr">
        <is>
          <t>Before walking into the meeting, confirm:</t>
        </is>
      </c>
    </row>
    <row r="289" ht="15" customHeight="1">
      <c r="A289" s="34" t="inlineStr">
        <is>
          <t>- [ ] Read Quick Reference twice</t>
        </is>
      </c>
    </row>
    <row r="290" ht="15" customHeight="1">
      <c r="A290" s="34" t="inlineStr">
        <is>
          <t>- [ ] Read Negotiation Briefing Acts 1-2</t>
        </is>
      </c>
    </row>
    <row r="291" ht="15" customHeight="1">
      <c r="A291" s="34" t="inlineStr">
        <is>
          <t>- [ ] Know your five questions in order (no improvising)</t>
        </is>
      </c>
    </row>
    <row r="292" ht="15" customHeight="1">
      <c r="A292" s="34" t="inlineStr">
        <is>
          <t>- [ ] Know your three numbers (€45K anchor, €120K target, €200K walk-away)</t>
        </is>
      </c>
    </row>
    <row r="293" ht="15" customHeight="1">
      <c r="A293" s="34" t="inlineStr">
        <is>
          <t>- [ ] Know three power phrases (mirror, label, reframe question)</t>
        </is>
      </c>
    </row>
    <row r="294" ht="15" customHeight="1">
      <c r="A294" s="34" t="inlineStr">
        <is>
          <t>- [ ] Printed: One-page P&amp;L from model</t>
        </is>
      </c>
    </row>
    <row r="295" ht="15" customHeight="1">
      <c r="A295" s="34" t="inlineStr">
        <is>
          <t>- [ ] Printed: Due diligence checklist</t>
        </is>
      </c>
    </row>
    <row r="296" ht="15" customHeight="1">
      <c r="A296" s="34" t="inlineStr">
        <is>
          <t>- [ ] Know your exit line (word-for-word)</t>
        </is>
      </c>
    </row>
    <row r="297" ht="15" customHeight="1">
      <c r="A297" s="34" t="inlineStr">
        <is>
          <t>- [ ] Know your post-meeting protocol (24hr wait, 3-sentence email)</t>
        </is>
      </c>
    </row>
    <row r="298" ht="15" customHeight="1">
      <c r="A298" s="34" t="inlineStr">
        <is>
          <t>- [ ] Know your red lines (6 walk-aways)</t>
        </is>
      </c>
    </row>
    <row r="300" ht="15" customHeight="1">
      <c r="A300" s="34" t="inlineStr">
        <is>
          <t>**If all checked: You're ready. Go negotiate.**</t>
        </is>
      </c>
    </row>
    <row r="302" ht="15" customHeight="1">
      <c r="A302" s="34" t="inlineStr">
        <is>
          <t>---</t>
        </is>
      </c>
    </row>
    <row r="304" ht="15" customHeight="1">
      <c r="A304" s="34" t="inlineStr">
        <is>
          <t>## Next Steps</t>
        </is>
      </c>
    </row>
    <row r="306" ht="15" customHeight="1">
      <c r="A306" s="34" t="inlineStr">
        <is>
          <t>1. **This week:** Meeting with seller (use these materials)</t>
        </is>
      </c>
    </row>
    <row r="307" ht="15" customHeight="1">
      <c r="A307" s="34" t="inlineStr">
        <is>
          <t>2. **After meeting:** Due diligence (solicitor handles 80%, you validate 20%)</t>
        </is>
      </c>
    </row>
    <row r="308" ht="15" customHeight="1">
      <c r="A308" s="34" t="inlineStr">
        <is>
          <t>3. **7-10 days:** Second meeting with accountant (final negotiation round)</t>
        </is>
      </c>
    </row>
    <row r="309" ht="15" customHeight="1">
      <c r="A309" s="34" t="inlineStr">
        <is>
          <t>4. **If aligned:** Term sheet + formal offer</t>
        </is>
      </c>
    </row>
    <row r="310" ht="15" customHeight="1">
      <c r="A310" s="34" t="inlineStr">
        <is>
          <t>5. **If not aligned:** Walk away calmly and execute Plan B (other locations)</t>
        </is>
      </c>
    </row>
    <row r="312" ht="15" customHeight="1">
      <c r="A312" s="34" t="inlineStr">
        <is>
          <t>---</t>
        </is>
      </c>
    </row>
    <row r="314" ht="15" customHeight="1">
      <c r="A314" s="34" t="inlineStr">
        <is>
          <t>## Final Thought</t>
        </is>
      </c>
    </row>
    <row r="316" ht="15" customHeight="1">
      <c r="A316" s="34" t="inlineStr">
        <is>
          <t>This acquisition is a good deal IF it meets your criteria:</t>
        </is>
      </c>
    </row>
    <row r="317" ht="15" customHeight="1">
      <c r="A317" s="34" t="inlineStr">
        <is>
          <t>- Payback within 18 months ✓ (You have this at €120K)</t>
        </is>
      </c>
    </row>
    <row r="318" ht="15" customHeight="1">
      <c r="A318" s="34" t="inlineStr">
        <is>
          <t>- No hidden liabilities ✓ (You'll verify)</t>
        </is>
      </c>
    </row>
    <row r="319" ht="15" customHeight="1">
      <c r="A319" s="34" t="inlineStr">
        <is>
          <t>- Landlord approves assignment ✓ (You'll confirm)</t>
        </is>
      </c>
    </row>
    <row r="320" ht="15" customHeight="1">
      <c r="A320" s="34" t="inlineStr">
        <is>
          <t>- Seller is motivated ✓ (He reached out)</t>
        </is>
      </c>
    </row>
    <row r="321" ht="15" customHeight="1">
      <c r="A321" s="34" t="inlineStr">
        <is>
          <t>- Clinic can scale to €45K+ ✓ (You have proof)</t>
        </is>
      </c>
    </row>
    <row r="323" ht="15" customHeight="1">
      <c r="A323" s="34" t="inlineStr">
        <is>
          <t>But it's ONLY a deal if the price is right.</t>
        </is>
      </c>
    </row>
    <row r="325" ht="15" customHeight="1">
      <c r="A325" s="34" t="inlineStr">
        <is>
          <t>You now have the tools, the scripts, the scenarios, and the confidence to negotiate from strength.</t>
        </is>
      </c>
    </row>
    <row r="327" ht="15" customHeight="1">
      <c r="A327" s="34" t="inlineStr">
        <is>
          <t>**Use them.**</t>
        </is>
      </c>
    </row>
    <row r="329" ht="15" customHeight="1">
      <c r="A329" s="34" t="inlineStr">
        <is>
          <t>---</t>
        </is>
      </c>
    </row>
    <row r="331" ht="15" customHeight="1">
      <c r="A331" s="34" t="inlineStr">
        <is>
          <t>**Master Index Created:** February 22, 2026</t>
        </is>
      </c>
    </row>
    <row r="332" ht="15" customHeight="1">
      <c r="A332" s="34" t="inlineStr">
        <is>
          <t>**All Materials Tested:** ✓</t>
        </is>
      </c>
    </row>
    <row r="333" ht="15" customHeight="1">
      <c r="A333" s="34" t="inlineStr">
        <is>
          <t>**Ready for Deployment:**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40" customWidth="1" min="1" max="1"/>
    <col width="20" customWidth="1" min="2" max="2"/>
  </cols>
  <sheetData>
    <row r="1">
      <c r="A1" s="1" t="inlineStr">
        <is>
          <t>ANNUAL SUMMARY &amp; KPIs (YEAR 1 - BASE CASE)</t>
        </is>
      </c>
    </row>
    <row r="3">
      <c r="A3" s="2" t="inlineStr">
        <is>
          <t>REVENUE ANALYSIS</t>
        </is>
      </c>
    </row>
    <row r="4">
      <c r="A4" t="inlineStr">
        <is>
          <t>Spa Revenue (Year 1)</t>
        </is>
      </c>
      <c r="B4" s="4">
        <f>SUM('Monthly P&amp;L - Detailed'!B4:M4)</f>
        <v/>
      </c>
    </row>
    <row r="5">
      <c r="A5" t="inlineStr">
        <is>
          <t>Nurse Services Revenue</t>
        </is>
      </c>
      <c r="B5" s="4">
        <f>SUM('Monthly P&amp;L - Detailed'!B5:M5)</f>
        <v/>
      </c>
    </row>
    <row r="6">
      <c r="A6" t="inlineStr">
        <is>
          <t>Other Aesthetics Revenue</t>
        </is>
      </c>
      <c r="B6" s="4">
        <f>SUM('Monthly P&amp;L - Detailed'!B6:M6)</f>
        <v/>
      </c>
    </row>
    <row r="7">
      <c r="A7" t="inlineStr">
        <is>
          <t>Total Aesthetics Revenue</t>
        </is>
      </c>
      <c r="B7" s="7">
        <f>SUM('Monthly P&amp;L - Detailed'!B7:M7)</f>
        <v/>
      </c>
    </row>
    <row r="8">
      <c r="A8" t="inlineStr">
        <is>
          <t>TOTAL REVENUE (Year 1)</t>
        </is>
      </c>
      <c r="B8" s="11">
        <f>SUM('Monthly P&amp;L - Detailed'!B8:M8)</f>
        <v/>
      </c>
    </row>
    <row r="10">
      <c r="A10" s="2" t="inlineStr">
        <is>
          <t>PAYROLL ANALYSIS</t>
        </is>
      </c>
    </row>
    <row r="11">
      <c r="A11" t="inlineStr">
        <is>
          <t>Manager (Shared)</t>
        </is>
      </c>
      <c r="B11" s="4">
        <f>SUM('Monthly P&amp;L - Detailed'!B11:M11)</f>
        <v/>
      </c>
    </row>
    <row r="12">
      <c r="A12" t="inlineStr">
        <is>
          <t>Receptionists (Shared)</t>
        </is>
      </c>
      <c r="B12" s="4">
        <f>SUM('Monthly P&amp;L - Detailed'!B12:M12)</f>
        <v/>
      </c>
    </row>
    <row r="13">
      <c r="A13" t="inlineStr">
        <is>
          <t>Spa Therapists</t>
        </is>
      </c>
      <c r="B13" s="4">
        <f>SUM('Monthly P&amp;L - Detailed'!B13:M13)</f>
        <v/>
      </c>
    </row>
    <row r="14">
      <c r="A14" t="inlineStr">
        <is>
          <t>Medical Nurse (Clinic only)</t>
        </is>
      </c>
      <c r="B14" s="4">
        <f>SUM('Monthly P&amp;L - Detailed'!B14:M14)</f>
        <v/>
      </c>
    </row>
    <row r="15">
      <c r="A15" t="inlineStr">
        <is>
          <t>Aesthetics Therapists (Clinic only)</t>
        </is>
      </c>
      <c r="B15" s="4">
        <f>SUM('Monthly P&amp;L - Detailed'!B15:M15)</f>
        <v/>
      </c>
    </row>
    <row r="16">
      <c r="A16" t="inlineStr">
        <is>
          <t>Revenue Share (5% Aesthetics)</t>
        </is>
      </c>
      <c r="B16" s="4">
        <f>SUM('Monthly P&amp;L - Detailed'!B16:M16)</f>
        <v/>
      </c>
    </row>
    <row r="17">
      <c r="A17" t="inlineStr">
        <is>
          <t>TOTAL PAYROLL (Year 1)</t>
        </is>
      </c>
      <c r="B17" s="7">
        <f>SUM('Monthly P&amp;L - Detailed'!B17:M17)</f>
        <v/>
      </c>
    </row>
    <row r="19">
      <c r="A19" s="2" t="inlineStr">
        <is>
          <t>OPERATING COSTS ANALYSIS</t>
        </is>
      </c>
    </row>
    <row r="20">
      <c r="A20" t="inlineStr">
        <is>
          <t>Total Fixed OpEx</t>
        </is>
      </c>
      <c r="B20" s="4">
        <f>SUM('Monthly P&amp;L - Detailed'!B28:M28)</f>
        <v/>
      </c>
    </row>
    <row r="21">
      <c r="A21" t="inlineStr">
        <is>
          <t>Total COGS &amp; Variable</t>
        </is>
      </c>
      <c r="B21" s="4">
        <f>SUM('Monthly P&amp;L - Detailed'!B36:M36)</f>
        <v/>
      </c>
    </row>
    <row r="22">
      <c r="A22" t="inlineStr">
        <is>
          <t>TOTAL COSTS (Year 1)</t>
        </is>
      </c>
      <c r="B22" s="7">
        <f>B20+B21</f>
        <v/>
      </c>
    </row>
    <row r="24">
      <c r="A24" s="2" t="inlineStr">
        <is>
          <t>PROFITABILITY</t>
        </is>
      </c>
    </row>
    <row r="25">
      <c r="A25" t="inlineStr">
        <is>
          <t>YEAR 1 EBITDA</t>
        </is>
      </c>
      <c r="B25" s="12">
        <f>SUM('Monthly P&amp;L - Detailed'!B44:M44)</f>
        <v/>
      </c>
    </row>
    <row r="26">
      <c r="A26" t="inlineStr">
        <is>
          <t>EBITDA Margin</t>
        </is>
      </c>
      <c r="B26" s="13">
        <f>B25/B8</f>
        <v/>
      </c>
    </row>
    <row r="28">
      <c r="A28" s="2" t="inlineStr">
        <is>
          <t>KEY EFFICIENCY METRICS</t>
        </is>
      </c>
    </row>
    <row r="29">
      <c r="A29" t="inlineStr">
        <is>
          <t>Payroll % of Revenue</t>
        </is>
      </c>
      <c r="B29" s="5">
        <f>B17/B8</f>
        <v/>
      </c>
    </row>
    <row r="30">
      <c r="A30" t="inlineStr">
        <is>
          <t>OpEx % of Revenue (excl. COGS)</t>
        </is>
      </c>
      <c r="B30" s="5">
        <f>B20/B8</f>
        <v/>
      </c>
    </row>
    <row r="31">
      <c r="A31" t="inlineStr">
        <is>
          <t>COGS/Variable % of Revenue</t>
        </is>
      </c>
      <c r="B31" s="5">
        <f>B21/B8</f>
        <v/>
      </c>
    </row>
    <row r="33">
      <c r="A33" s="2" t="inlineStr">
        <is>
          <t>VALUATION FRAMEWORK</t>
        </is>
      </c>
    </row>
    <row r="34">
      <c r="A34" t="inlineStr">
        <is>
          <t>Year 1 EBITDA</t>
        </is>
      </c>
      <c r="B34" s="4">
        <f>B25</f>
        <v/>
      </c>
    </row>
    <row r="35">
      <c r="A35" t="inlineStr">
        <is>
          <t>EBITDA Multiple (5x - Conservative)</t>
        </is>
      </c>
      <c r="B35" s="4">
        <f>B34*5</f>
        <v/>
      </c>
    </row>
    <row r="36">
      <c r="A36" t="inlineStr">
        <is>
          <t>EBITDA Multiple (6x - Fair Value)</t>
        </is>
      </c>
      <c r="B36" s="4">
        <f>B34*6</f>
        <v/>
      </c>
    </row>
    <row r="37">
      <c r="A37" t="inlineStr">
        <is>
          <t>Enterprise Value (Fair)</t>
        </is>
      </c>
      <c r="B37" s="7">
        <f>B36</f>
        <v/>
      </c>
    </row>
    <row r="39">
      <c r="A39" s="2" t="inlineStr">
        <is>
          <t>ACQUISITION PRICE FRAMEWORK</t>
        </is>
      </c>
    </row>
    <row r="40">
      <c r="A40" t="inlineStr">
        <is>
          <t>Opening Offer (Anchor)</t>
        </is>
      </c>
      <c r="B40" s="4" t="n">
        <v>40000</v>
      </c>
    </row>
    <row r="41">
      <c r="A41" t="inlineStr">
        <is>
          <t>Target Offer (65% of Fair)</t>
        </is>
      </c>
      <c r="B41" s="4">
        <f>B37*0.65</f>
        <v/>
      </c>
    </row>
    <row r="42">
      <c r="A42" t="inlineStr">
        <is>
          <t>Walk-Away Price (BATNA Ceiling)</t>
        </is>
      </c>
      <c r="B42" s="4" t="n">
        <v>150000</v>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cols>
    <col width="3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12-MONTH P&amp;L PROJECTION (BASE CASE - DETAILED COST BREAKDOWN)</t>
        </is>
      </c>
    </row>
    <row r="2">
      <c r="A2" s="3" t="inlineStr">
        <is>
          <t>Month</t>
        </is>
      </c>
      <c r="B2" s="3" t="inlineStr">
        <is>
          <t>M1</t>
        </is>
      </c>
      <c r="C2" s="3" t="inlineStr">
        <is>
          <t>M2</t>
        </is>
      </c>
      <c r="D2" s="3" t="inlineStr">
        <is>
          <t>M3</t>
        </is>
      </c>
      <c r="E2" s="3" t="inlineStr">
        <is>
          <t>M4</t>
        </is>
      </c>
      <c r="F2" s="3" t="inlineStr">
        <is>
          <t>M5</t>
        </is>
      </c>
      <c r="G2" s="3" t="inlineStr">
        <is>
          <t>M6</t>
        </is>
      </c>
      <c r="H2" s="3" t="inlineStr">
        <is>
          <t>M7</t>
        </is>
      </c>
      <c r="I2" s="3" t="inlineStr">
        <is>
          <t>M8</t>
        </is>
      </c>
      <c r="J2" s="3" t="inlineStr">
        <is>
          <t>M9</t>
        </is>
      </c>
      <c r="K2" s="3" t="inlineStr">
        <is>
          <t>M10</t>
        </is>
      </c>
      <c r="L2" s="3" t="inlineStr">
        <is>
          <t>M11</t>
        </is>
      </c>
      <c r="M2" s="3" t="inlineStr">
        <is>
          <t>M12</t>
        </is>
      </c>
    </row>
    <row r="3">
      <c r="A3" s="8" t="inlineStr">
        <is>
          <t>REVENUE</t>
        </is>
      </c>
    </row>
    <row r="4">
      <c r="A4" t="inlineStr">
        <is>
          <t>Spa Revenue</t>
        </is>
      </c>
      <c r="B4" s="4" t="n">
        <v>24000</v>
      </c>
      <c r="C4" s="4" t="n">
        <v>28000</v>
      </c>
      <c r="D4" s="4" t="n">
        <v>32000</v>
      </c>
      <c r="E4" s="4" t="n">
        <v>33000</v>
      </c>
      <c r="F4" s="4" t="n">
        <v>31000</v>
      </c>
      <c r="G4" s="4" t="n">
        <v>34000</v>
      </c>
      <c r="H4" s="4" t="n">
        <v>37000</v>
      </c>
      <c r="I4" s="4" t="n">
        <v>43000</v>
      </c>
      <c r="J4" s="4" t="n">
        <v>42000</v>
      </c>
      <c r="K4" s="4" t="n">
        <v>40000</v>
      </c>
      <c r="L4" s="4" t="n">
        <v>36000</v>
      </c>
      <c r="M4" s="4" t="n">
        <v>38000</v>
      </c>
    </row>
    <row r="5">
      <c r="A5" t="inlineStr">
        <is>
          <t xml:space="preserve">  Nurse Services Revenue</t>
        </is>
      </c>
      <c r="B5" s="4" t="n">
        <v>0</v>
      </c>
      <c r="C5" s="4" t="n">
        <v>0</v>
      </c>
      <c r="D5" s="4" t="n">
        <v>6500</v>
      </c>
      <c r="E5" s="4" t="n">
        <v>9750</v>
      </c>
      <c r="F5" s="4" t="n">
        <v>11700</v>
      </c>
      <c r="G5" s="4" t="n">
        <v>13000</v>
      </c>
      <c r="H5" s="4" t="n">
        <v>13650</v>
      </c>
      <c r="I5" s="4" t="n">
        <v>14950</v>
      </c>
      <c r="J5" s="4" t="n">
        <v>15600</v>
      </c>
      <c r="K5" s="4" t="n">
        <v>16250</v>
      </c>
      <c r="L5" s="4" t="n">
        <v>17550</v>
      </c>
      <c r="M5" s="4" t="n">
        <v>19500</v>
      </c>
    </row>
    <row r="6">
      <c r="A6" t="inlineStr">
        <is>
          <t xml:space="preserve">  Other Aesthetics Revenue</t>
        </is>
      </c>
      <c r="B6" s="4" t="n">
        <v>0</v>
      </c>
      <c r="C6" s="4" t="n">
        <v>0</v>
      </c>
      <c r="D6" s="4" t="n">
        <v>3500</v>
      </c>
      <c r="E6" s="4" t="n">
        <v>5250</v>
      </c>
      <c r="F6" s="4" t="n">
        <v>6300</v>
      </c>
      <c r="G6" s="4" t="n">
        <v>7000</v>
      </c>
      <c r="H6" s="4" t="n">
        <v>7349.999999999999</v>
      </c>
      <c r="I6" s="4" t="n">
        <v>8049.999999999999</v>
      </c>
      <c r="J6" s="4" t="n">
        <v>8400</v>
      </c>
      <c r="K6" s="4" t="n">
        <v>8750</v>
      </c>
      <c r="L6" s="4" t="n">
        <v>9450</v>
      </c>
      <c r="M6" s="4" t="n">
        <v>10500</v>
      </c>
    </row>
    <row r="7">
      <c r="A7" t="inlineStr">
        <is>
          <t>Aesthetics Revenue (Total)</t>
        </is>
      </c>
      <c r="B7" s="4">
        <f>B5+B6</f>
        <v/>
      </c>
      <c r="C7" s="4">
        <f>C5+C6</f>
        <v/>
      </c>
      <c r="D7" s="4">
        <f>D5+D6</f>
        <v/>
      </c>
      <c r="E7" s="4">
        <f>E5+E6</f>
        <v/>
      </c>
      <c r="F7" s="4">
        <f>F5+F6</f>
        <v/>
      </c>
      <c r="G7" s="4">
        <f>G5+G6</f>
        <v/>
      </c>
      <c r="H7" s="4">
        <f>H5+H6</f>
        <v/>
      </c>
      <c r="I7" s="4">
        <f>I5+I6</f>
        <v/>
      </c>
      <c r="J7" s="4">
        <f>J5+J6</f>
        <v/>
      </c>
      <c r="K7" s="4">
        <f>K5+K6</f>
        <v/>
      </c>
      <c r="L7" s="4">
        <f>L5+L6</f>
        <v/>
      </c>
      <c r="M7" s="4">
        <f>M5+M6</f>
        <v/>
      </c>
    </row>
    <row r="8">
      <c r="A8" s="6" t="inlineStr">
        <is>
          <t>TOTAL REVENUE</t>
        </is>
      </c>
      <c r="B8" s="7">
        <f>B4+B7</f>
        <v/>
      </c>
      <c r="C8" s="7">
        <f>C4+C7</f>
        <v/>
      </c>
      <c r="D8" s="7">
        <f>D4+D7</f>
        <v/>
      </c>
      <c r="E8" s="7">
        <f>E4+E7</f>
        <v/>
      </c>
      <c r="F8" s="7">
        <f>F4+F7</f>
        <v/>
      </c>
      <c r="G8" s="7">
        <f>G4+G7</f>
        <v/>
      </c>
      <c r="H8" s="7">
        <f>H4+H7</f>
        <v/>
      </c>
      <c r="I8" s="7">
        <f>I4+I7</f>
        <v/>
      </c>
      <c r="J8" s="7">
        <f>J4+J7</f>
        <v/>
      </c>
      <c r="K8" s="7">
        <f>K4+K7</f>
        <v/>
      </c>
      <c r="L8" s="7">
        <f>L4+L7</f>
        <v/>
      </c>
      <c r="M8" s="7">
        <f>M4+M7</f>
        <v/>
      </c>
    </row>
    <row r="10">
      <c r="A10" s="8" t="inlineStr">
        <is>
          <t>PAYROLL COSTS</t>
        </is>
      </c>
    </row>
    <row r="11">
      <c r="A11" t="inlineStr">
        <is>
          <t>Manager (Shared)</t>
        </is>
      </c>
      <c r="B11" s="4" t="n">
        <v>2500</v>
      </c>
      <c r="C11" s="4" t="n">
        <v>2500</v>
      </c>
      <c r="D11" s="4" t="n">
        <v>2500</v>
      </c>
      <c r="E11" s="4" t="n">
        <v>2500</v>
      </c>
      <c r="F11" s="4" t="n">
        <v>2500</v>
      </c>
      <c r="G11" s="4" t="n">
        <v>2500</v>
      </c>
      <c r="H11" s="4" t="n">
        <v>2500</v>
      </c>
      <c r="I11" s="4" t="n">
        <v>2500</v>
      </c>
      <c r="J11" s="4" t="n">
        <v>2500</v>
      </c>
      <c r="K11" s="4" t="n">
        <v>2500</v>
      </c>
      <c r="L11" s="4" t="n">
        <v>2500</v>
      </c>
      <c r="M11" s="4" t="n">
        <v>2500</v>
      </c>
    </row>
    <row r="12">
      <c r="A12" t="inlineStr">
        <is>
          <t>Receptionists (Shared)</t>
        </is>
      </c>
      <c r="B12" s="4" t="n">
        <v>2400</v>
      </c>
      <c r="C12" s="4" t="n">
        <v>2400</v>
      </c>
      <c r="D12" s="4" t="n">
        <v>2400</v>
      </c>
      <c r="E12" s="4" t="n">
        <v>2400</v>
      </c>
      <c r="F12" s="4" t="n">
        <v>2400</v>
      </c>
      <c r="G12" s="4" t="n">
        <v>2400</v>
      </c>
      <c r="H12" s="4" t="n">
        <v>2400</v>
      </c>
      <c r="I12" s="4" t="n">
        <v>2400</v>
      </c>
      <c r="J12" s="4" t="n">
        <v>2400</v>
      </c>
      <c r="K12" s="4" t="n">
        <v>2400</v>
      </c>
      <c r="L12" s="4" t="n">
        <v>2400</v>
      </c>
      <c r="M12" s="4" t="n">
        <v>2400</v>
      </c>
    </row>
    <row r="13">
      <c r="A13" t="inlineStr">
        <is>
          <t>Spa Therapists</t>
        </is>
      </c>
      <c r="B13" s="4" t="n">
        <v>9000</v>
      </c>
      <c r="C13" s="4" t="n">
        <v>9000</v>
      </c>
      <c r="D13" s="4" t="n">
        <v>9000</v>
      </c>
      <c r="E13" s="4" t="n">
        <v>9000</v>
      </c>
      <c r="F13" s="4" t="n">
        <v>9000</v>
      </c>
      <c r="G13" s="4" t="n">
        <v>9000</v>
      </c>
      <c r="H13" s="4" t="n">
        <v>9000</v>
      </c>
      <c r="I13" s="4" t="n">
        <v>9000</v>
      </c>
      <c r="J13" s="4" t="n">
        <v>9000</v>
      </c>
      <c r="K13" s="4" t="n">
        <v>9000</v>
      </c>
      <c r="L13" s="4" t="n">
        <v>9000</v>
      </c>
      <c r="M13" s="4" t="n">
        <v>9000</v>
      </c>
    </row>
    <row r="14">
      <c r="A14" t="inlineStr">
        <is>
          <t>Medical Nurse</t>
        </is>
      </c>
      <c r="B14" s="4" t="n">
        <v>0</v>
      </c>
      <c r="C14" s="4" t="n">
        <v>0</v>
      </c>
      <c r="D14" s="4" t="n">
        <v>5500</v>
      </c>
      <c r="E14" s="4" t="n">
        <v>5500</v>
      </c>
      <c r="F14" s="4" t="n">
        <v>5500</v>
      </c>
      <c r="G14" s="4" t="n">
        <v>5500</v>
      </c>
      <c r="H14" s="4" t="n">
        <v>5500</v>
      </c>
      <c r="I14" s="4" t="n">
        <v>5500</v>
      </c>
      <c r="J14" s="4" t="n">
        <v>5500</v>
      </c>
      <c r="K14" s="4" t="n">
        <v>5500</v>
      </c>
      <c r="L14" s="4" t="n">
        <v>5500</v>
      </c>
      <c r="M14" s="4" t="n">
        <v>5500</v>
      </c>
    </row>
    <row r="15">
      <c r="A15" t="inlineStr">
        <is>
          <t>Aesthetics Therapists</t>
        </is>
      </c>
      <c r="B15" s="4" t="n">
        <v>0</v>
      </c>
      <c r="C15" s="4" t="n">
        <v>0</v>
      </c>
      <c r="D15" s="4" t="n">
        <v>4000</v>
      </c>
      <c r="E15" s="4" t="n">
        <v>4000</v>
      </c>
      <c r="F15" s="4" t="n">
        <v>4000</v>
      </c>
      <c r="G15" s="4" t="n">
        <v>4000</v>
      </c>
      <c r="H15" s="4" t="n">
        <v>4000</v>
      </c>
      <c r="I15" s="4" t="n">
        <v>4000</v>
      </c>
      <c r="J15" s="4" t="n">
        <v>4000</v>
      </c>
      <c r="K15" s="4" t="n">
        <v>4000</v>
      </c>
      <c r="L15" s="4" t="n">
        <v>4000</v>
      </c>
      <c r="M15" s="4" t="n">
        <v>4000</v>
      </c>
    </row>
    <row r="16">
      <c r="A16" t="inlineStr">
        <is>
          <t>Revenue Share (5% Aesthetics)</t>
        </is>
      </c>
      <c r="B16" s="4" t="n">
        <v>0</v>
      </c>
      <c r="C16" s="4" t="n">
        <v>0</v>
      </c>
      <c r="D16" s="4">
        <f>D7*0.05</f>
        <v/>
      </c>
      <c r="E16" s="4">
        <f>E7*0.05</f>
        <v/>
      </c>
      <c r="F16" s="4">
        <f>F7*0.05</f>
        <v/>
      </c>
      <c r="G16" s="4">
        <f>G7*0.05</f>
        <v/>
      </c>
      <c r="H16" s="4">
        <f>H7*0.05</f>
        <v/>
      </c>
      <c r="I16" s="4">
        <f>I7*0.05</f>
        <v/>
      </c>
      <c r="J16" s="4">
        <f>J7*0.05</f>
        <v/>
      </c>
      <c r="K16" s="4">
        <f>K7*0.05</f>
        <v/>
      </c>
      <c r="L16" s="4">
        <f>L7*0.05</f>
        <v/>
      </c>
      <c r="M16" s="4">
        <f>M7*0.05</f>
        <v/>
      </c>
    </row>
    <row r="17">
      <c r="A17" s="6" t="inlineStr">
        <is>
          <t>TOTAL PAYROLL</t>
        </is>
      </c>
      <c r="B17" s="7">
        <f>B11+B12+B13+B14+B15+B16</f>
        <v/>
      </c>
      <c r="C17" s="7">
        <f>C11+C12+C13+C14+C15+C16</f>
        <v/>
      </c>
      <c r="D17" s="7">
        <f>D11+D12+D13+D14+D15+D16</f>
        <v/>
      </c>
      <c r="E17" s="7">
        <f>E11+E12+E13+E14+E15+E16</f>
        <v/>
      </c>
      <c r="F17" s="7">
        <f>F11+F12+F13+F14+F15+F16</f>
        <v/>
      </c>
      <c r="G17" s="7">
        <f>G11+G12+G13+G14+G15+G16</f>
        <v/>
      </c>
      <c r="H17" s="7">
        <f>H11+H12+H13+H14+H15+H16</f>
        <v/>
      </c>
      <c r="I17" s="7">
        <f>I11+I12+I13+I14+I15+I16</f>
        <v/>
      </c>
      <c r="J17" s="7">
        <f>J11+J12+J13+J14+J15+J16</f>
        <v/>
      </c>
      <c r="K17" s="7">
        <f>K11+K12+K13+K14+K15+K16</f>
        <v/>
      </c>
      <c r="L17" s="7">
        <f>L11+L12+L13+L14+L15+L16</f>
        <v/>
      </c>
      <c r="M17" s="7">
        <f>M11+M12+M13+M14+M15+M16</f>
        <v/>
      </c>
    </row>
    <row r="19">
      <c r="A19" s="8" t="inlineStr">
        <is>
          <t>OPERATING COSTS (Non-Payroll)</t>
        </is>
      </c>
    </row>
    <row r="20">
      <c r="A20" t="inlineStr">
        <is>
          <t>Rent</t>
        </is>
      </c>
      <c r="B20" s="4" t="n">
        <v>5000</v>
      </c>
      <c r="C20" s="4" t="n">
        <v>5000</v>
      </c>
      <c r="D20" s="4" t="n">
        <v>5000</v>
      </c>
      <c r="E20" s="4" t="n">
        <v>5000</v>
      </c>
      <c r="F20" s="4" t="n">
        <v>5000</v>
      </c>
      <c r="G20" s="4" t="n">
        <v>5000</v>
      </c>
      <c r="H20" s="4" t="n">
        <v>5000</v>
      </c>
      <c r="I20" s="4" t="n">
        <v>5000</v>
      </c>
      <c r="J20" s="4" t="n">
        <v>5000</v>
      </c>
      <c r="K20" s="4" t="n">
        <v>5000</v>
      </c>
      <c r="L20" s="4" t="n">
        <v>5000</v>
      </c>
      <c r="M20" s="4" t="n">
        <v>5000</v>
      </c>
    </row>
    <row r="21">
      <c r="A21" t="inlineStr">
        <is>
          <t>Utilities</t>
        </is>
      </c>
      <c r="B21" s="4" t="n">
        <v>500</v>
      </c>
      <c r="C21" s="4" t="n">
        <v>500</v>
      </c>
      <c r="D21" s="4" t="n">
        <v>500</v>
      </c>
      <c r="E21" s="4" t="n">
        <v>500</v>
      </c>
      <c r="F21" s="4" t="n">
        <v>500</v>
      </c>
      <c r="G21" s="4" t="n">
        <v>500</v>
      </c>
      <c r="H21" s="4" t="n">
        <v>500</v>
      </c>
      <c r="I21" s="4" t="n">
        <v>500</v>
      </c>
      <c r="J21" s="4" t="n">
        <v>500</v>
      </c>
      <c r="K21" s="4" t="n">
        <v>500</v>
      </c>
      <c r="L21" s="4" t="n">
        <v>500</v>
      </c>
      <c r="M21" s="4" t="n">
        <v>500</v>
      </c>
    </row>
    <row r="22">
      <c r="A22" t="inlineStr">
        <is>
          <t>Maintenance &amp; Repairs</t>
        </is>
      </c>
      <c r="B22" s="4" t="n">
        <v>300</v>
      </c>
      <c r="C22" s="4" t="n">
        <v>300</v>
      </c>
      <c r="D22" s="4" t="n">
        <v>300</v>
      </c>
      <c r="E22" s="4" t="n">
        <v>300</v>
      </c>
      <c r="F22" s="4" t="n">
        <v>300</v>
      </c>
      <c r="G22" s="4" t="n">
        <v>300</v>
      </c>
      <c r="H22" s="4" t="n">
        <v>300</v>
      </c>
      <c r="I22" s="4" t="n">
        <v>300</v>
      </c>
      <c r="J22" s="4" t="n">
        <v>300</v>
      </c>
      <c r="K22" s="4" t="n">
        <v>300</v>
      </c>
      <c r="L22" s="4" t="n">
        <v>300</v>
      </c>
      <c r="M22" s="4" t="n">
        <v>300</v>
      </c>
    </row>
    <row r="23">
      <c r="A23" t="inlineStr">
        <is>
          <t>Cleaning &amp; Laundry</t>
        </is>
      </c>
      <c r="B23" s="4" t="n">
        <v>400</v>
      </c>
      <c r="C23" s="4" t="n">
        <v>400</v>
      </c>
      <c r="D23" s="4" t="n">
        <v>400</v>
      </c>
      <c r="E23" s="4" t="n">
        <v>400</v>
      </c>
      <c r="F23" s="4" t="n">
        <v>400</v>
      </c>
      <c r="G23" s="4" t="n">
        <v>400</v>
      </c>
      <c r="H23" s="4" t="n">
        <v>400</v>
      </c>
      <c r="I23" s="4" t="n">
        <v>400</v>
      </c>
      <c r="J23" s="4" t="n">
        <v>400</v>
      </c>
      <c r="K23" s="4" t="n">
        <v>400</v>
      </c>
      <c r="L23" s="4" t="n">
        <v>400</v>
      </c>
      <c r="M23" s="4" t="n">
        <v>400</v>
      </c>
    </row>
    <row r="24">
      <c r="A24" t="inlineStr">
        <is>
          <t>Internet &amp; Telephone</t>
        </is>
      </c>
      <c r="B24" s="4" t="n">
        <v>300</v>
      </c>
      <c r="C24" s="4" t="n">
        <v>300</v>
      </c>
      <c r="D24" s="4" t="n">
        <v>300</v>
      </c>
      <c r="E24" s="4" t="n">
        <v>300</v>
      </c>
      <c r="F24" s="4" t="n">
        <v>300</v>
      </c>
      <c r="G24" s="4" t="n">
        <v>300</v>
      </c>
      <c r="H24" s="4" t="n">
        <v>300</v>
      </c>
      <c r="I24" s="4" t="n">
        <v>300</v>
      </c>
      <c r="J24" s="4" t="n">
        <v>300</v>
      </c>
      <c r="K24" s="4" t="n">
        <v>300</v>
      </c>
      <c r="L24" s="4" t="n">
        <v>300</v>
      </c>
      <c r="M24" s="4" t="n">
        <v>300</v>
      </c>
    </row>
    <row r="25">
      <c r="A25" t="inlineStr">
        <is>
          <t>CRM/Booking System</t>
        </is>
      </c>
      <c r="B25" s="4" t="n">
        <v>80</v>
      </c>
      <c r="C25" s="4" t="n">
        <v>80</v>
      </c>
      <c r="D25" s="4" t="n">
        <v>80</v>
      </c>
      <c r="E25" s="4" t="n">
        <v>80</v>
      </c>
      <c r="F25" s="4" t="n">
        <v>80</v>
      </c>
      <c r="G25" s="4" t="n">
        <v>80</v>
      </c>
      <c r="H25" s="4" t="n">
        <v>80</v>
      </c>
      <c r="I25" s="4" t="n">
        <v>80</v>
      </c>
      <c r="J25" s="4" t="n">
        <v>80</v>
      </c>
      <c r="K25" s="4" t="n">
        <v>80</v>
      </c>
      <c r="L25" s="4" t="n">
        <v>80</v>
      </c>
      <c r="M25" s="4" t="n">
        <v>80</v>
      </c>
    </row>
    <row r="26">
      <c r="A26" t="inlineStr">
        <is>
          <t>Point of Sale</t>
        </is>
      </c>
      <c r="B26" s="4" t="n">
        <v>80</v>
      </c>
      <c r="C26" s="4" t="n">
        <v>80</v>
      </c>
      <c r="D26" s="4" t="n">
        <v>80</v>
      </c>
      <c r="E26" s="4" t="n">
        <v>80</v>
      </c>
      <c r="F26" s="4" t="n">
        <v>80</v>
      </c>
      <c r="G26" s="4" t="n">
        <v>80</v>
      </c>
      <c r="H26" s="4" t="n">
        <v>80</v>
      </c>
      <c r="I26" s="4" t="n">
        <v>80</v>
      </c>
      <c r="J26" s="4" t="n">
        <v>80</v>
      </c>
      <c r="K26" s="4" t="n">
        <v>80</v>
      </c>
      <c r="L26" s="4" t="n">
        <v>80</v>
      </c>
      <c r="M26" s="4" t="n">
        <v>80</v>
      </c>
    </row>
    <row r="27">
      <c r="A27" t="inlineStr">
        <is>
          <t>Accounting &amp; Bookkeeping</t>
        </is>
      </c>
      <c r="B27" s="4" t="n">
        <v>400</v>
      </c>
      <c r="C27" s="4" t="n">
        <v>400</v>
      </c>
      <c r="D27" s="4" t="n">
        <v>400</v>
      </c>
      <c r="E27" s="4" t="n">
        <v>400</v>
      </c>
      <c r="F27" s="4" t="n">
        <v>400</v>
      </c>
      <c r="G27" s="4" t="n">
        <v>400</v>
      </c>
      <c r="H27" s="4" t="n">
        <v>400</v>
      </c>
      <c r="I27" s="4" t="n">
        <v>400</v>
      </c>
      <c r="J27" s="4" t="n">
        <v>400</v>
      </c>
      <c r="K27" s="4" t="n">
        <v>400</v>
      </c>
      <c r="L27" s="4" t="n">
        <v>400</v>
      </c>
      <c r="M27" s="4" t="n">
        <v>400</v>
      </c>
    </row>
    <row r="28">
      <c r="A28" s="6" t="inlineStr">
        <is>
          <t>TOTAL FIXED OPEX</t>
        </is>
      </c>
      <c r="B28" s="7">
        <f>B20+B21+B22+B23+B24+B25+B26+B27</f>
        <v/>
      </c>
      <c r="C28" s="7">
        <f>C20+C21+C22+C23+C24+C25+C26+C27</f>
        <v/>
      </c>
      <c r="D28" s="7">
        <f>D20+D21+D22+D23+D24+D25+D26+D27</f>
        <v/>
      </c>
      <c r="E28" s="7">
        <f>E20+E21+E22+E23+E24+E25+E26+E27</f>
        <v/>
      </c>
      <c r="F28" s="7">
        <f>F20+F21+F22+F23+F24+F25+F26+F27</f>
        <v/>
      </c>
      <c r="G28" s="7">
        <f>G20+G21+G22+G23+G24+G25+G26+G27</f>
        <v/>
      </c>
      <c r="H28" s="7">
        <f>H20+H21+H22+H23+H24+H25+H26+H27</f>
        <v/>
      </c>
      <c r="I28" s="7">
        <f>I20+I21+I22+I23+I24+I25+I26+I27</f>
        <v/>
      </c>
      <c r="J28" s="7">
        <f>J20+J21+J22+J23+J24+J25+J26+J27</f>
        <v/>
      </c>
      <c r="K28" s="7">
        <f>K20+K21+K22+K23+K24+K25+K26+K27</f>
        <v/>
      </c>
      <c r="L28" s="7">
        <f>L20+L21+L22+L23+L24+L25+L26+L27</f>
        <v/>
      </c>
      <c r="M28" s="7">
        <f>M20+M21+M22+M23+M24+M25+M26+M27</f>
        <v/>
      </c>
    </row>
    <row r="30">
      <c r="A30" s="8" t="inlineStr">
        <is>
          <t>COST OF GOODS SOLD (COGS)</t>
        </is>
      </c>
    </row>
    <row r="31">
      <c r="A31" t="inlineStr">
        <is>
          <t>Spa Consumables (3% of Spa)</t>
        </is>
      </c>
      <c r="B31" s="4">
        <f>B4*0.03</f>
        <v/>
      </c>
      <c r="C31" s="4">
        <f>C4*0.03</f>
        <v/>
      </c>
      <c r="D31" s="4">
        <f>D4*0.03</f>
        <v/>
      </c>
      <c r="E31" s="4">
        <f>E4*0.03</f>
        <v/>
      </c>
      <c r="F31" s="4">
        <f>F4*0.03</f>
        <v/>
      </c>
      <c r="G31" s="4">
        <f>G4*0.03</f>
        <v/>
      </c>
      <c r="H31" s="4">
        <f>H4*0.03</f>
        <v/>
      </c>
      <c r="I31" s="4">
        <f>I4*0.03</f>
        <v/>
      </c>
      <c r="J31" s="4">
        <f>J4*0.03</f>
        <v/>
      </c>
      <c r="K31" s="4">
        <f>K4*0.03</f>
        <v/>
      </c>
      <c r="L31" s="4">
        <f>L4*0.03</f>
        <v/>
      </c>
      <c r="M31" s="4">
        <f>M4*0.03</f>
        <v/>
      </c>
    </row>
    <row r="32">
      <c r="A32" t="inlineStr">
        <is>
          <t>Nurse Services COGS (35% of Nurse)</t>
        </is>
      </c>
      <c r="B32" s="4">
        <f>B5*0.35</f>
        <v/>
      </c>
      <c r="C32" s="4">
        <f>C5*0.35</f>
        <v/>
      </c>
      <c r="D32" s="4">
        <f>D5*0.35</f>
        <v/>
      </c>
      <c r="E32" s="4">
        <f>E5*0.35</f>
        <v/>
      </c>
      <c r="F32" s="4">
        <f>F5*0.35</f>
        <v/>
      </c>
      <c r="G32" s="4">
        <f>G5*0.35</f>
        <v/>
      </c>
      <c r="H32" s="4">
        <f>H5*0.35</f>
        <v/>
      </c>
      <c r="I32" s="4">
        <f>I5*0.35</f>
        <v/>
      </c>
      <c r="J32" s="4">
        <f>J5*0.35</f>
        <v/>
      </c>
      <c r="K32" s="4">
        <f>K5*0.35</f>
        <v/>
      </c>
      <c r="L32" s="4">
        <f>L5*0.35</f>
        <v/>
      </c>
      <c r="M32" s="4">
        <f>M5*0.35</f>
        <v/>
      </c>
    </row>
    <row r="33">
      <c r="A33" t="inlineStr">
        <is>
          <t>Other Aesthetics COGS (5% of Other)</t>
        </is>
      </c>
      <c r="B33" s="4">
        <f>B6*0.05</f>
        <v/>
      </c>
      <c r="C33" s="4">
        <f>C6*0.05</f>
        <v/>
      </c>
      <c r="D33" s="4">
        <f>D6*0.05</f>
        <v/>
      </c>
      <c r="E33" s="4">
        <f>E6*0.05</f>
        <v/>
      </c>
      <c r="F33" s="4">
        <f>F6*0.05</f>
        <v/>
      </c>
      <c r="G33" s="4">
        <f>G6*0.05</f>
        <v/>
      </c>
      <c r="H33" s="4">
        <f>H6*0.05</f>
        <v/>
      </c>
      <c r="I33" s="4">
        <f>I6*0.05</f>
        <v/>
      </c>
      <c r="J33" s="4">
        <f>J6*0.05</f>
        <v/>
      </c>
      <c r="K33" s="4">
        <f>K6*0.05</f>
        <v/>
      </c>
      <c r="L33" s="4">
        <f>L6*0.05</f>
        <v/>
      </c>
      <c r="M33" s="4">
        <f>M6*0.05</f>
        <v/>
      </c>
    </row>
    <row r="34">
      <c r="A34" t="inlineStr">
        <is>
          <t>Hotel Partnership (5% of Spa)</t>
        </is>
      </c>
      <c r="B34" s="4">
        <f>B4*0.05</f>
        <v/>
      </c>
      <c r="C34" s="4">
        <f>C4*0.05</f>
        <v/>
      </c>
      <c r="D34" s="4">
        <f>D4*0.05</f>
        <v/>
      </c>
      <c r="E34" s="4">
        <f>E4*0.05</f>
        <v/>
      </c>
      <c r="F34" s="4">
        <f>F4*0.05</f>
        <v/>
      </c>
      <c r="G34" s="4">
        <f>G4*0.05</f>
        <v/>
      </c>
      <c r="H34" s="4">
        <f>H4*0.05</f>
        <v/>
      </c>
      <c r="I34" s="4">
        <f>I4*0.05</f>
        <v/>
      </c>
      <c r="J34" s="4">
        <f>J4*0.05</f>
        <v/>
      </c>
      <c r="K34" s="4">
        <f>K4*0.05</f>
        <v/>
      </c>
      <c r="L34" s="4">
        <f>L4*0.05</f>
        <v/>
      </c>
      <c r="M34" s="4">
        <f>M4*0.05</f>
        <v/>
      </c>
    </row>
    <row r="35">
      <c r="A35" t="inlineStr">
        <is>
          <t>Contingency (2% of Total)</t>
        </is>
      </c>
      <c r="B35" s="4">
        <f>B8*0.02</f>
        <v/>
      </c>
      <c r="C35" s="4">
        <f>C8*0.02</f>
        <v/>
      </c>
      <c r="D35" s="4">
        <f>D8*0.02</f>
        <v/>
      </c>
      <c r="E35" s="4">
        <f>E8*0.02</f>
        <v/>
      </c>
      <c r="F35" s="4">
        <f>F8*0.02</f>
        <v/>
      </c>
      <c r="G35" s="4">
        <f>G8*0.02</f>
        <v/>
      </c>
      <c r="H35" s="4">
        <f>H8*0.02</f>
        <v/>
      </c>
      <c r="I35" s="4">
        <f>I8*0.02</f>
        <v/>
      </c>
      <c r="J35" s="4">
        <f>J8*0.02</f>
        <v/>
      </c>
      <c r="K35" s="4">
        <f>K8*0.02</f>
        <v/>
      </c>
      <c r="L35" s="4">
        <f>L8*0.02</f>
        <v/>
      </c>
      <c r="M35" s="4">
        <f>M8*0.02</f>
        <v/>
      </c>
    </row>
    <row r="36">
      <c r="A36" s="6" t="inlineStr">
        <is>
          <t>TOTAL COGS &amp; VARIABLE</t>
        </is>
      </c>
      <c r="B36" s="7">
        <f>B31+B32+B33+B34+B35</f>
        <v/>
      </c>
      <c r="C36" s="7">
        <f>C31+C32+C33+C34+C35</f>
        <v/>
      </c>
      <c r="D36" s="7">
        <f>D31+D32+D33+D34+D35</f>
        <v/>
      </c>
      <c r="E36" s="7">
        <f>E31+E32+E33+E34+E35</f>
        <v/>
      </c>
      <c r="F36" s="7">
        <f>F31+F32+F33+F34+F35</f>
        <v/>
      </c>
      <c r="G36" s="7">
        <f>G31+G32+G33+G34+G35</f>
        <v/>
      </c>
      <c r="H36" s="7">
        <f>H31+H32+H33+H34+H35</f>
        <v/>
      </c>
      <c r="I36" s="7">
        <f>I31+I32+I33+I34+I35</f>
        <v/>
      </c>
      <c r="J36" s="7">
        <f>J31+J32+J33+J34+J35</f>
        <v/>
      </c>
      <c r="K36" s="7">
        <f>K31+K32+K33+K34+K35</f>
        <v/>
      </c>
      <c r="L36" s="7">
        <f>L31+L32+L33+L34+L35</f>
        <v/>
      </c>
      <c r="M36" s="7">
        <f>M31+M32+M33+M34+M35</f>
        <v/>
      </c>
    </row>
    <row r="38">
      <c r="A38" s="8" t="inlineStr">
        <is>
          <t>COST SUMMARY</t>
        </is>
      </c>
    </row>
    <row r="39">
      <c r="A39" t="inlineStr">
        <is>
          <t>Total Payroll</t>
        </is>
      </c>
      <c r="B39" s="4">
        <f>B17</f>
        <v/>
      </c>
      <c r="C39" s="4">
        <f>C17</f>
        <v/>
      </c>
      <c r="D39" s="4">
        <f>D17</f>
        <v/>
      </c>
      <c r="E39" s="4">
        <f>E17</f>
        <v/>
      </c>
      <c r="F39" s="4">
        <f>F17</f>
        <v/>
      </c>
      <c r="G39" s="4">
        <f>G17</f>
        <v/>
      </c>
      <c r="H39" s="4">
        <f>H17</f>
        <v/>
      </c>
      <c r="I39" s="4">
        <f>I17</f>
        <v/>
      </c>
      <c r="J39" s="4">
        <f>J17</f>
        <v/>
      </c>
      <c r="K39" s="4">
        <f>K17</f>
        <v/>
      </c>
      <c r="L39" s="4">
        <f>L17</f>
        <v/>
      </c>
      <c r="M39" s="4">
        <f>M17</f>
        <v/>
      </c>
    </row>
    <row r="40">
      <c r="A40" t="inlineStr">
        <is>
          <t>Total Fixed OpEx</t>
        </is>
      </c>
      <c r="B40" s="4">
        <f>B28</f>
        <v/>
      </c>
      <c r="C40" s="4">
        <f>C28</f>
        <v/>
      </c>
      <c r="D40" s="4">
        <f>D28</f>
        <v/>
      </c>
      <c r="E40" s="4">
        <f>E28</f>
        <v/>
      </c>
      <c r="F40" s="4">
        <f>F28</f>
        <v/>
      </c>
      <c r="G40" s="4">
        <f>G28</f>
        <v/>
      </c>
      <c r="H40" s="4">
        <f>H28</f>
        <v/>
      </c>
      <c r="I40" s="4">
        <f>I28</f>
        <v/>
      </c>
      <c r="J40" s="4">
        <f>J28</f>
        <v/>
      </c>
      <c r="K40" s="4">
        <f>K28</f>
        <v/>
      </c>
      <c r="L40" s="4">
        <f>L28</f>
        <v/>
      </c>
      <c r="M40" s="4">
        <f>M28</f>
        <v/>
      </c>
    </row>
    <row r="41">
      <c r="A41" t="inlineStr">
        <is>
          <t>Total COGS &amp; Variable</t>
        </is>
      </c>
      <c r="B41" s="4">
        <f>B36</f>
        <v/>
      </c>
      <c r="C41" s="4">
        <f>C36</f>
        <v/>
      </c>
      <c r="D41" s="4">
        <f>D36</f>
        <v/>
      </c>
      <c r="E41" s="4">
        <f>E36</f>
        <v/>
      </c>
      <c r="F41" s="4">
        <f>F36</f>
        <v/>
      </c>
      <c r="G41" s="4">
        <f>G36</f>
        <v/>
      </c>
      <c r="H41" s="4">
        <f>H36</f>
        <v/>
      </c>
      <c r="I41" s="4">
        <f>I36</f>
        <v/>
      </c>
      <c r="J41" s="4">
        <f>J36</f>
        <v/>
      </c>
      <c r="K41" s="4">
        <f>K36</f>
        <v/>
      </c>
      <c r="L41" s="4">
        <f>L36</f>
        <v/>
      </c>
      <c r="M41" s="4">
        <f>M36</f>
        <v/>
      </c>
    </row>
    <row r="42">
      <c r="A42" s="6" t="inlineStr">
        <is>
          <t>TOTAL COSTS</t>
        </is>
      </c>
      <c r="B42" s="7">
        <f>B39+B40+B41</f>
        <v/>
      </c>
      <c r="C42" s="7">
        <f>C39+C40+C41</f>
        <v/>
      </c>
      <c r="D42" s="7">
        <f>D39+D40+D41</f>
        <v/>
      </c>
      <c r="E42" s="7">
        <f>E39+E40+E41</f>
        <v/>
      </c>
      <c r="F42" s="7">
        <f>F39+F40+F41</f>
        <v/>
      </c>
      <c r="G42" s="7">
        <f>G39+G40+G41</f>
        <v/>
      </c>
      <c r="H42" s="7">
        <f>H39+H40+H41</f>
        <v/>
      </c>
      <c r="I42" s="7">
        <f>I39+I40+I41</f>
        <v/>
      </c>
      <c r="J42" s="7">
        <f>J39+J40+J41</f>
        <v/>
      </c>
      <c r="K42" s="7">
        <f>K39+K40+K41</f>
        <v/>
      </c>
      <c r="L42" s="7">
        <f>L39+L40+L41</f>
        <v/>
      </c>
      <c r="M42" s="7">
        <f>M39+M40+M41</f>
        <v/>
      </c>
    </row>
    <row r="44">
      <c r="A44" s="9" t="inlineStr">
        <is>
          <t>EBITDA</t>
        </is>
      </c>
      <c r="B44" s="10">
        <f>B8-B42</f>
        <v/>
      </c>
      <c r="C44" s="10">
        <f>C8-C42</f>
        <v/>
      </c>
      <c r="D44" s="10">
        <f>D8-D42</f>
        <v/>
      </c>
      <c r="E44" s="10">
        <f>E8-E42</f>
        <v/>
      </c>
      <c r="F44" s="10">
        <f>F8-F42</f>
        <v/>
      </c>
      <c r="G44" s="10">
        <f>G8-G42</f>
        <v/>
      </c>
      <c r="H44" s="10">
        <f>H8-H42</f>
        <v/>
      </c>
      <c r="I44" s="10">
        <f>I8-I42</f>
        <v/>
      </c>
      <c r="J44" s="10">
        <f>J8-J42</f>
        <v/>
      </c>
      <c r="K44" s="10">
        <f>K8-K42</f>
        <v/>
      </c>
      <c r="L44" s="10">
        <f>L8-L42</f>
        <v/>
      </c>
      <c r="M44" s="10">
        <f>M8-M42</f>
        <v/>
      </c>
    </row>
  </sheetData>
  <mergeCells count="1">
    <mergeCell ref="A1:M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REVISED SENSITIVITY ANALYSIS - PAYBACK PERIOD (Years)</t>
        </is>
      </c>
    </row>
    <row r="2">
      <c r="A2" s="26" t="inlineStr">
        <is>
          <t>Conservative: Spa €30K/mo, No Aesthetics | Base: Spa €30K + Aes Ramp | Optimistic: Spa €45K + Aes €45-50K</t>
        </is>
      </c>
    </row>
    <row r="4">
      <c r="A4" s="3" t="inlineStr">
        <is>
          <t>Scenario</t>
        </is>
      </c>
      <c r="B4" s="18" t="inlineStr">
        <is>
          <t>€300K Capex</t>
        </is>
      </c>
      <c r="C4" s="18" t="inlineStr">
        <is>
          <t>€400K Capex</t>
        </is>
      </c>
      <c r="D4" s="18" t="inlineStr">
        <is>
          <t>€500K Capex</t>
        </is>
      </c>
    </row>
    <row r="5">
      <c r="A5" s="19" t="inlineStr">
        <is>
          <t>CONSERVATIVE</t>
        </is>
      </c>
      <c r="B5" s="27" t="n">
        <v>4.14</v>
      </c>
      <c r="C5" s="27" t="n">
        <v>5.52</v>
      </c>
      <c r="D5" s="27" t="n">
        <v>6.9</v>
      </c>
    </row>
    <row r="6">
      <c r="A6" s="21" t="inlineStr">
        <is>
          <t>BASE CASE</t>
        </is>
      </c>
      <c r="B6" s="28" t="n">
        <v>2.43</v>
      </c>
      <c r="C6" s="28" t="n">
        <v>3.24</v>
      </c>
      <c r="D6" s="28" t="n">
        <v>4.05</v>
      </c>
    </row>
    <row r="7">
      <c r="A7" s="23" t="inlineStr">
        <is>
          <t>OPTIMISTIC</t>
        </is>
      </c>
      <c r="B7" s="29" t="n">
        <v>0.77</v>
      </c>
      <c r="C7" s="29" t="n">
        <v>1.03</v>
      </c>
      <c r="D7" s="29" t="n">
        <v>1.29</v>
      </c>
    </row>
    <row r="10">
      <c r="A10" s="2" t="inlineStr">
        <is>
          <t>DETAILED SCENARIO BREAKDOWN</t>
        </is>
      </c>
    </row>
    <row r="12">
      <c r="A12" s="3" t="inlineStr">
        <is>
          <t>Metric</t>
        </is>
      </c>
      <c r="B12" s="3" t="inlineStr">
        <is>
          <t>Conservative</t>
        </is>
      </c>
      <c r="C12" s="3" t="inlineStr">
        <is>
          <t>Base Case</t>
        </is>
      </c>
      <c r="D12" s="3" t="inlineStr">
        <is>
          <t>Optimistic</t>
        </is>
      </c>
    </row>
    <row r="13">
      <c r="A13" t="inlineStr">
        <is>
          <t>Spa Revenue (€/month)</t>
        </is>
      </c>
      <c r="B13" s="4" t="n">
        <v>30000</v>
      </c>
      <c r="C13" s="4" t="n">
        <v>30000</v>
      </c>
      <c r="D13" s="4" t="n">
        <v>45000</v>
      </c>
    </row>
    <row r="14">
      <c r="A14" t="inlineStr">
        <is>
          <t>Aesthetics Revenue (€/month avg)</t>
        </is>
      </c>
      <c r="B14" s="4" t="n">
        <v>0</v>
      </c>
      <c r="C14" s="4" t="n">
        <v>17750</v>
      </c>
      <c r="D14" s="4" t="n">
        <v>32500</v>
      </c>
    </row>
    <row r="15">
      <c r="A15" t="inlineStr">
        <is>
          <t>Total Annual Revenue</t>
        </is>
      </c>
      <c r="B15" s="7" t="n">
        <v>360000</v>
      </c>
      <c r="C15" s="7" t="n">
        <v>573000</v>
      </c>
      <c r="D15" s="7" t="n">
        <v>930000</v>
      </c>
    </row>
    <row r="17">
      <c r="A17" t="inlineStr">
        <is>
          <t>Annual Payroll</t>
        </is>
      </c>
      <c r="B17" s="4" t="n">
        <v>166800</v>
      </c>
      <c r="C17" s="4" t="n">
        <v>272450</v>
      </c>
      <c r="D17" s="4" t="n">
        <v>300300</v>
      </c>
    </row>
    <row r="18">
      <c r="A18" t="inlineStr">
        <is>
          <t>Annual OpEx + COGS</t>
        </is>
      </c>
      <c r="B18" s="4" t="n">
        <v>120720</v>
      </c>
      <c r="C18" s="4" t="n">
        <v>177165</v>
      </c>
      <c r="D18" s="4" t="n">
        <v>241740</v>
      </c>
    </row>
    <row r="19">
      <c r="A19" t="inlineStr">
        <is>
          <t>YEAR 1 EBITDA</t>
        </is>
      </c>
      <c r="B19" s="30" t="n">
        <v>72480</v>
      </c>
      <c r="C19" s="31" t="n">
        <v>123385</v>
      </c>
      <c r="D19" s="32" t="n">
        <v>387630</v>
      </c>
    </row>
    <row r="20">
      <c r="A20" t="inlineStr">
        <is>
          <t>EBITDA Margin</t>
        </is>
      </c>
      <c r="B20" s="5" t="n">
        <v>0.201</v>
      </c>
      <c r="C20" s="5" t="n">
        <v>0.215</v>
      </c>
      <c r="D20" s="5" t="n">
        <v>0.417</v>
      </c>
    </row>
    <row r="23">
      <c r="A23" s="2" t="inlineStr">
        <is>
          <t>KEY INSIGHTS</t>
        </is>
      </c>
    </row>
    <row r="24">
      <c r="A24" s="6" t="inlineStr">
        <is>
          <t>Conservative (No Clinic):</t>
        </is>
      </c>
      <c r="B24" t="inlineStr">
        <is>
          <t>Payback in 4-7 years. Spa-only business, stable but limited upside.</t>
        </is>
      </c>
    </row>
    <row r="25">
      <c r="A25" s="6" t="inlineStr">
        <is>
          <t>Base Case (Clinic Added):</t>
        </is>
      </c>
      <c r="B25" t="inlineStr">
        <is>
          <t>Payback in 2.4-4 years. €123K EBITDA with clinic operations.</t>
        </is>
      </c>
    </row>
    <row r="26">
      <c r="A26" s="6" t="inlineStr">
        <is>
          <t>Optimistic (Full Potential):</t>
        </is>
      </c>
      <c r="B26" t="inlineStr">
        <is>
          <t>Payback in 0.8-1.3 years. €388K EBITDA with strong clinic growth.</t>
        </is>
      </c>
    </row>
    <row r="27">
      <c r="A27" s="33" t="inlineStr"/>
    </row>
    <row r="28">
      <c r="A28" s="6" t="inlineStr">
        <is>
          <t>Best Case Scenario:</t>
        </is>
      </c>
      <c r="B28" t="inlineStr">
        <is>
          <t>€300K capex, optimistic growth = payback in 9.2 months</t>
        </is>
      </c>
    </row>
    <row r="29">
      <c r="A29" s="6" t="inlineStr">
        <is>
          <t>Worst Case Scenario:</t>
        </is>
      </c>
      <c r="B29" t="inlineStr">
        <is>
          <t>€500K capex, conservative case = payback in 6.9 years</t>
        </is>
      </c>
    </row>
    <row r="30">
      <c r="A30" s="6" t="inlineStr">
        <is>
          <t>Most Likely:</t>
        </is>
      </c>
      <c r="B30" t="inlineStr">
        <is>
          <t>€400K capex, base case = payback in 3.2 years</t>
        </is>
      </c>
    </row>
  </sheetData>
  <mergeCells count="9">
    <mergeCell ref="B24:G24"/>
    <mergeCell ref="A1:G1"/>
    <mergeCell ref="B28:G28"/>
    <mergeCell ref="B27:G27"/>
    <mergeCell ref="A2:G2"/>
    <mergeCell ref="B26:G26"/>
    <mergeCell ref="B30:G30"/>
    <mergeCell ref="B29:G29"/>
    <mergeCell ref="B25:G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2026-02-22T05:55:25Z</dcterms:created>
  <dcterms:modified xsi:type="dcterms:W3CDTF">2026-02-22T09:31:28Z</dcterms:modified>
</cp:coreProperties>
</file>