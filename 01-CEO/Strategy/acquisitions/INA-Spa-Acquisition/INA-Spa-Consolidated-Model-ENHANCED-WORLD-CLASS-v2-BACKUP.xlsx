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Instructions" sheetId="1" state="visible" r:id="rId1"/>
    <sheet name="2. Version Control" sheetId="2" state="visible" r:id="rId2"/>
    <sheet name="3. Model Parameters" sheetId="3" state="visible" r:id="rId3"/>
    <sheet name="4. Monthly P&amp;L Year 1" sheetId="4" state="visible" r:id="rId4"/>
    <sheet name="5. 13-Year P&amp;L Piano" sheetId="5" state="visible" r:id="rId5"/>
    <sheet name="6. Spa vs Clinic P&amp;Ls" sheetId="6" state="visible" r:id="rId6"/>
    <sheet name="7. Capacity Model" sheetId="7" state="visible" r:id="rId7"/>
    <sheet name="8. Free Cash Flow Build" sheetId="8" state="visible" r:id="rId8"/>
    <sheet name="9. DCF Valuation" sheetId="9" state="visible" r:id="rId9"/>
    <sheet name="10. IRR &amp; Returns" sheetId="10" state="visible" r:id="rId10"/>
    <sheet name="11. Customer Analysis" sheetId="11" state="visible" r:id="rId11"/>
    <sheet name="12. Scenario Probability" sheetId="12" state="visible" r:id="rId12"/>
    <sheet name="13. Exit Analysis" sheetId="13" state="visible" r:id="rId13"/>
    <sheet name="14. Comparable Companies" sheetId="14" state="visible" r:id="rId14"/>
    <sheet name="15. KPI Dashboard" sheetId="15" state="visible" r:id="rId15"/>
    <sheet name="16. Waterfall &amp; Summary" sheetId="16" state="visible" r:id="rId16"/>
    <sheet name="Deal Structuring Optimization" sheetId="17" state="visible" r:id="rId17"/>
    <sheet name="CapEx Costing" sheetId="18" state="visible" r:id="rId18"/>
    <sheet name="Gap Analysis - EUR 1M Claim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0"/>
    <numFmt numFmtId="166" formatCode="[€]#,##0"/>
    <numFmt numFmtId="167" formatCode="mm/dd/yyyy"/>
  </numFmts>
  <fonts count="3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1F3864"/>
      <sz val="14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i val="1"/>
      <color rgb="00808080"/>
      <sz val="9"/>
    </font>
    <font>
      <name val="Calibri"/>
      <b val="1"/>
      <color rgb="00000000"/>
      <sz val="10"/>
    </font>
    <font>
      <name val="Calibri"/>
      <b val="1"/>
      <color rgb="008B0000"/>
      <sz val="10"/>
    </font>
    <font>
      <name val="Calibri"/>
      <b val="1"/>
      <color rgb="00375623"/>
      <sz val="12"/>
    </font>
    <font>
      <name val="Calibri"/>
      <b val="1"/>
      <i val="1"/>
      <color rgb="00808080"/>
      <sz val="10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b val="1"/>
      <color rgb="00000000"/>
    </font>
    <font>
      <b val="1"/>
    </font>
    <font>
      <i val="1"/>
    </font>
    <font>
      <b val="1"/>
      <color rgb="00C00000"/>
    </font>
    <font>
      <b val="1"/>
      <sz val="9"/>
    </font>
    <font>
      <i val="1"/>
      <sz val="9"/>
    </font>
    <font>
      <b val="1"/>
      <color rgb="00FFFFFF"/>
      <sz val="9"/>
    </font>
    <font>
      <sz val="9"/>
    </font>
    <font>
      <b val="1"/>
      <color rgb="00C00000"/>
      <sz val="9"/>
    </font>
    <font>
      <b val="1"/>
      <color rgb="00FFFFFF"/>
      <sz val="13"/>
    </font>
    <font>
      <b val="1"/>
      <color rgb="00C00000"/>
      <sz val="11"/>
    </font>
    <font>
      <b val="1"/>
      <color rgb="00FFFFFF"/>
      <sz val="12"/>
    </font>
    <font>
      <b val="1"/>
      <color rgb="00006100"/>
    </font>
    <font>
      <b val="1"/>
      <color rgb="009C0006"/>
    </font>
  </fonts>
  <fills count="2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F2"/>
        <bgColor rgb="00FFF2F2"/>
      </patternFill>
    </fill>
    <fill>
      <patternFill patternType="solid">
        <fgColor rgb="00F2FFF2"/>
        <bgColor rgb="00F2FFF2"/>
      </patternFill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203864"/>
        <bgColor rgb="00203864"/>
      </patternFill>
    </fill>
    <fill>
      <patternFill patternType="solid">
        <fgColor rgb="0092D050"/>
        <bgColor rgb="0092D050"/>
      </patternFill>
    </fill>
    <fill>
      <patternFill patternType="solid">
        <fgColor rgb="00F0F0F0"/>
        <bgColor rgb="00F0F0F0"/>
      </patternFill>
    </fill>
    <fill>
      <patternFill patternType="solid">
        <fgColor rgb="00FF6B6B"/>
        <bgColor rgb="00FF6B6B"/>
      </patternFill>
    </fill>
    <fill>
      <patternFill patternType="solid">
        <fgColor rgb="00FDE5DB"/>
        <bgColor rgb="00FDE5DB"/>
      </patternFill>
    </fill>
    <fill>
      <patternFill patternType="solid">
        <fgColor rgb="00B4C7E7"/>
        <bgColor rgb="00B4C7E7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8" fillId="6" borderId="0" pivotButton="0" quotePrefix="0" xfId="0"/>
    <xf numFmtId="3" fontId="7" fillId="0" borderId="1" applyAlignment="1" pivotButton="0" quotePrefix="0" xfId="0">
      <alignment vertical="top" wrapText="1"/>
    </xf>
    <xf numFmtId="0" fontId="6" fillId="5" borderId="0" pivotButton="0" quotePrefix="0" xfId="0"/>
    <xf numFmtId="0" fontId="3" fillId="3" borderId="0" pivotButton="0" quotePrefix="0" xfId="0"/>
    <xf numFmtId="0" fontId="4" fillId="7" borderId="1" applyAlignment="1" pivotButton="0" quotePrefix="0" xfId="0">
      <alignment vertical="top" wrapText="1"/>
    </xf>
    <xf numFmtId="164" fontId="4" fillId="7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3" fontId="7" fillId="3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3" fontId="7" fillId="8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3" fontId="7" fillId="6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3" fontId="4" fillId="8" borderId="1" applyAlignment="1" pivotButton="0" quotePrefix="0" xfId="0">
      <alignment vertical="top" wrapText="1"/>
    </xf>
    <xf numFmtId="164" fontId="4" fillId="8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3" fontId="4" fillId="6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0" fontId="7" fillId="8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4" fontId="7" fillId="8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10" fontId="4" fillId="3" borderId="1" applyAlignment="1" pivotButton="0" quotePrefix="0" xfId="0">
      <alignment vertical="top" wrapText="1"/>
    </xf>
    <xf numFmtId="4" fontId="4" fillId="3" borderId="1" applyAlignment="1" pivotButton="0" quotePrefix="0" xfId="0">
      <alignment vertical="top" wrapText="1"/>
    </xf>
    <xf numFmtId="4" fontId="7" fillId="0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 wrapText="1"/>
    </xf>
    <xf numFmtId="10" fontId="7" fillId="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3" fontId="7" fillId="7" borderId="1" applyAlignment="1" pivotButton="0" quotePrefix="0" xfId="0">
      <alignment vertical="top" wrapText="1"/>
    </xf>
    <xf numFmtId="164" fontId="7" fillId="6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3" fontId="4" fillId="9" borderId="1" applyAlignment="1" pivotButton="0" quotePrefix="0" xfId="0">
      <alignment vertical="top" wrapText="1"/>
    </xf>
    <xf numFmtId="164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3" fontId="4" fillId="10" borderId="1" applyAlignment="1" pivotButton="0" quotePrefix="0" xfId="0">
      <alignment vertical="top" wrapText="1"/>
    </xf>
    <xf numFmtId="164" fontId="4" fillId="10" borderId="1" applyAlignment="1" pivotButton="0" quotePrefix="0" xfId="0">
      <alignment vertical="top" wrapText="1"/>
    </xf>
    <xf numFmtId="164" fontId="7" fillId="8" borderId="1" applyAlignment="1" pivotButton="0" quotePrefix="0" xfId="0">
      <alignment vertical="top" wrapText="1"/>
    </xf>
    <xf numFmtId="3" fontId="7" fillId="5" borderId="1" applyAlignment="1" pivotButton="0" quotePrefix="0" xfId="0">
      <alignment vertical="top" wrapText="1"/>
    </xf>
    <xf numFmtId="164" fontId="7" fillId="5" borderId="1" applyAlignment="1" pivotButton="0" quotePrefix="0" xfId="0">
      <alignment vertical="top" wrapText="1"/>
    </xf>
    <xf numFmtId="0" fontId="9" fillId="8" borderId="0" applyAlignment="1" pivotButton="0" quotePrefix="0" xfId="0">
      <alignment vertical="top" wrapText="1"/>
    </xf>
    <xf numFmtId="0" fontId="10" fillId="0" borderId="0" pivotButton="0" quotePrefix="0" xfId="0"/>
    <xf numFmtId="0" fontId="11" fillId="11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/>
    </xf>
    <xf numFmtId="0" fontId="13" fillId="11" borderId="0" pivotButton="0" quotePrefix="0" xfId="0"/>
    <xf numFmtId="166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14" fillId="12" borderId="1" applyAlignment="1" pivotButton="0" quotePrefix="0" xfId="0">
      <alignment horizontal="center" vertical="center" wrapText="1"/>
    </xf>
    <xf numFmtId="0" fontId="15" fillId="1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16" fillId="5" borderId="0" pivotButton="0" quotePrefix="0" xfId="0"/>
    <xf numFmtId="167" fontId="0" fillId="0" borderId="0" pivotButton="0" quotePrefix="0" xfId="0"/>
    <xf numFmtId="0" fontId="12" fillId="0" borderId="0" pivotButton="0" quotePrefix="0" xfId="0"/>
    <xf numFmtId="0" fontId="17" fillId="0" borderId="0" pivotButton="0" quotePrefix="0" xfId="0"/>
    <xf numFmtId="10" fontId="0" fillId="0" borderId="0" pivotButton="0" quotePrefix="0" xfId="0"/>
    <xf numFmtId="0" fontId="18" fillId="0" borderId="0" pivotButton="0" quotePrefix="0" xfId="0"/>
    <xf numFmtId="10" fontId="19" fillId="5" borderId="0" pivotButton="0" quotePrefix="0" xfId="0"/>
    <xf numFmtId="0" fontId="20" fillId="14" borderId="0" pivotButton="0" quotePrefix="0" xfId="0"/>
    <xf numFmtId="0" fontId="20" fillId="0" borderId="0" pivotButton="0" quotePrefix="0" xfId="0"/>
    <xf numFmtId="0" fontId="13" fillId="15" borderId="0" applyAlignment="1" pivotButton="0" quotePrefix="0" xfId="0">
      <alignment horizontal="center" vertical="center"/>
    </xf>
    <xf numFmtId="0" fontId="21" fillId="0" borderId="0" pivotButton="0" quotePrefix="0" xfId="0"/>
    <xf numFmtId="0" fontId="13" fillId="15" borderId="0" pivotButton="0" quotePrefix="0" xfId="0"/>
    <xf numFmtId="0" fontId="22" fillId="12" borderId="1" pivotButton="0" quotePrefix="0" xfId="0"/>
    <xf numFmtId="0" fontId="14" fillId="16" borderId="1" pivotButton="0" quotePrefix="0" xfId="0"/>
    <xf numFmtId="0" fontId="0" fillId="16" borderId="1" applyAlignment="1" pivotButton="0" quotePrefix="0" xfId="0">
      <alignment wrapText="1"/>
    </xf>
    <xf numFmtId="0" fontId="20" fillId="16" borderId="1" applyAlignment="1" pivotButton="0" quotePrefix="0" xfId="0">
      <alignment wrapText="1"/>
    </xf>
    <xf numFmtId="0" fontId="14" fillId="16" borderId="1" applyAlignment="1" pivotButton="0" quotePrefix="0" xfId="0">
      <alignment horizontal="center"/>
    </xf>
    <xf numFmtId="0" fontId="23" fillId="17" borderId="1" pivotButton="0" quotePrefix="0" xfId="0"/>
    <xf numFmtId="0" fontId="0" fillId="17" borderId="1" applyAlignment="1" pivotButton="0" quotePrefix="0" xfId="0">
      <alignment wrapText="1"/>
    </xf>
    <xf numFmtId="0" fontId="20" fillId="17" borderId="1" applyAlignment="1" pivotButton="0" quotePrefix="0" xfId="0">
      <alignment wrapText="1"/>
    </xf>
    <xf numFmtId="0" fontId="23" fillId="17" borderId="1" applyAlignment="1" pivotButton="0" quotePrefix="0" xfId="0">
      <alignment horizontal="center"/>
    </xf>
    <xf numFmtId="0" fontId="22" fillId="18" borderId="1" pivotButton="0" quotePrefix="0" xfId="0"/>
    <xf numFmtId="0" fontId="0" fillId="18" borderId="1" applyAlignment="1" pivotButton="0" quotePrefix="0" xfId="0">
      <alignment wrapText="1"/>
    </xf>
    <xf numFmtId="0" fontId="20" fillId="18" borderId="1" applyAlignment="1" pivotButton="0" quotePrefix="0" xfId="0">
      <alignment wrapText="1"/>
    </xf>
    <xf numFmtId="0" fontId="22" fillId="18" borderId="1" applyAlignment="1" pivotButton="0" quotePrefix="0" xfId="0">
      <alignment horizontal="center"/>
    </xf>
    <xf numFmtId="0" fontId="24" fillId="19" borderId="0" pivotButton="0" quotePrefix="0" xfId="0"/>
    <xf numFmtId="0" fontId="0" fillId="0" borderId="0" applyAlignment="1" pivotButton="0" quotePrefix="0" xfId="0">
      <alignment wrapText="1"/>
    </xf>
    <xf numFmtId="0" fontId="22" fillId="16" borderId="0" pivotButton="0" quotePrefix="0" xfId="0"/>
    <xf numFmtId="0" fontId="0" fillId="0" borderId="0" applyAlignment="1" pivotButton="0" quotePrefix="0" xfId="0">
      <alignment vertical="top" wrapText="1"/>
    </xf>
    <xf numFmtId="0" fontId="22" fillId="14" borderId="0" pivotButton="0" quotePrefix="0" xfId="0"/>
    <xf numFmtId="0" fontId="13" fillId="16" borderId="0" applyAlignment="1" pivotButton="0" quotePrefix="0" xfId="0">
      <alignment horizontal="center"/>
    </xf>
    <xf numFmtId="0" fontId="25" fillId="11" borderId="0" applyAlignment="1" pivotButton="0" quotePrefix="0" xfId="0">
      <alignment horizontal="center" vertical="center"/>
    </xf>
    <xf numFmtId="0" fontId="13" fillId="12" borderId="0" pivotButton="0" quotePrefix="0" xfId="0"/>
    <xf numFmtId="0" fontId="22" fillId="20" borderId="1" applyAlignment="1" pivotButton="0" quotePrefix="0" xfId="0">
      <alignment horizontal="center" vertical="center"/>
    </xf>
    <xf numFmtId="0" fontId="26" fillId="5" borderId="0" pivotButton="0" quotePrefix="0" xfId="0"/>
    <xf numFmtId="166" fontId="26" fillId="5" borderId="0" pivotButton="0" quotePrefix="0" xfId="0"/>
    <xf numFmtId="0" fontId="27" fillId="11" borderId="0" pivotButton="0" quotePrefix="0" xfId="0"/>
    <xf numFmtId="166" fontId="27" fillId="11" borderId="0" pivotButton="0" quotePrefix="0" xfId="0"/>
    <xf numFmtId="0" fontId="22" fillId="20" borderId="1" pivotButton="0" quotePrefix="0" xfId="0"/>
    <xf numFmtId="0" fontId="28" fillId="21" borderId="0" pivotButton="0" quotePrefix="0" xfId="0"/>
    <xf numFmtId="0" fontId="23" fillId="0" borderId="0" pivotButton="0" quotePrefix="0" xfId="0"/>
    <xf numFmtId="0" fontId="15" fillId="0" borderId="0" pivotButton="0" quotePrefix="0" xfId="0"/>
    <xf numFmtId="0" fontId="25" fillId="22" borderId="0" applyAlignment="1" pivotButton="0" quotePrefix="0" xfId="0">
      <alignment horizontal="center" vertical="center"/>
    </xf>
    <xf numFmtId="0" fontId="27" fillId="22" borderId="0" pivotButton="0" quotePrefix="0" xfId="0"/>
    <xf numFmtId="0" fontId="13" fillId="22" borderId="0" pivotButton="0" quotePrefix="0" xfId="0"/>
    <xf numFmtId="0" fontId="26" fillId="23" borderId="0" pivotButton="0" quotePrefix="0" xfId="0"/>
    <xf numFmtId="166" fontId="26" fillId="23" borderId="0" pivotButton="0" quotePrefix="0" xfId="0"/>
    <xf numFmtId="0" fontId="13" fillId="18" borderId="0" pivotButton="0" quotePrefix="0" xfId="0"/>
    <xf numFmtId="0" fontId="22" fillId="24" borderId="1" applyAlignment="1" pivotButton="0" quotePrefix="0" xfId="0">
      <alignment horizontal="center" vertical="center" wrapText="1"/>
    </xf>
    <xf numFmtId="0" fontId="0" fillId="23" borderId="0" pivotButton="0" quotePrefix="0" xfId="0"/>
    <xf numFmtId="0" fontId="29" fillId="24" borderId="0" pivotButton="0" quotePrefix="0" xfId="0"/>
    <xf numFmtId="166" fontId="17" fillId="0" borderId="0" pivotButton="0" quotePrefix="0" xfId="0"/>
    <xf numFmtId="0" fontId="22" fillId="2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0" customWidth="1" min="3" max="3"/>
  </cols>
  <sheetData>
    <row r="1" ht="35" customHeight="1">
      <c r="A1" s="1" t="inlineStr">
        <is>
          <t>INA SPA &amp; WELLNESS ACQUISITION - ENHANCED FINANCIAL MODEL</t>
        </is>
      </c>
    </row>
    <row r="2">
      <c r="A2" s="2" t="inlineStr">
        <is>
          <t>Version 2.0 | Investment Committee Grade | February 2026</t>
        </is>
      </c>
    </row>
    <row r="4" ht="25" customHeight="1">
      <c r="A4" s="3" t="inlineStr">
        <is>
          <t>PURPOSE</t>
        </is>
      </c>
    </row>
    <row r="5" ht="65" customHeight="1">
      <c r="A5" s="4" t="inlineStr">
        <is>
          <t>This model evaluates the acquisition of INA Spa &amp; Wellness in Malta, including a spa takeover and new clinic build-out. It provides a 13-year DCF analysis across three scenarios (Bear/Base/Bull) with probability-weighted expected values, capacity validation, customer economics, and exit analysis. The model is designed to be self-documenting: every assumption is sourced, every calculation is traceable, and every conclusion is defensible.</t>
        </is>
      </c>
    </row>
    <row r="7" ht="25" customHeight="1">
      <c r="A7" s="3" t="inlineStr">
        <is>
          <t>KEY INVESTMENT PARAMETERS</t>
        </is>
      </c>
    </row>
    <row r="8">
      <c r="A8" s="5" t="inlineStr">
        <is>
          <t>Parameter</t>
        </is>
      </c>
      <c r="B8" s="5" t="inlineStr">
        <is>
          <t>Value</t>
        </is>
      </c>
      <c r="C8" s="5" t="inlineStr">
        <is>
          <t>Source / Rationale</t>
        </is>
      </c>
    </row>
    <row r="9">
      <c r="A9" s="6" t="inlineStr">
        <is>
          <t>Total Investment</t>
        </is>
      </c>
      <c r="B9" s="6" t="inlineStr">
        <is>
          <t>EUR 500,000 (purchase + capex)</t>
        </is>
      </c>
      <c r="C9" s="6" t="inlineStr">
        <is>
          <t>Negotiation target EUR 320-350K + EUR 150-180K clinic fit-out</t>
        </is>
      </c>
    </row>
    <row r="10">
      <c r="A10" s="6" t="inlineStr">
        <is>
          <t>Contract Length</t>
        </is>
      </c>
      <c r="B10" s="6" t="inlineStr">
        <is>
          <t>13 years (lease)</t>
        </is>
      </c>
      <c r="C10" s="6" t="inlineStr">
        <is>
          <t>Fixed lease term, no renewal guarantee</t>
        </is>
      </c>
    </row>
    <row r="11">
      <c r="A11" s="6" t="inlineStr">
        <is>
          <t>Primary Discount Rate</t>
        </is>
      </c>
      <c r="B11" s="6" t="inlineStr">
        <is>
          <t>18% (risk-adjusted WACC)</t>
        </is>
      </c>
      <c r="C11" s="6" t="inlineStr">
        <is>
          <t>Emerging business + execution risk + illiquidity premium</t>
        </is>
      </c>
    </row>
    <row r="12">
      <c r="A12" s="6" t="inlineStr">
        <is>
          <t>Terminal Value</t>
        </is>
      </c>
      <c r="B12" s="6" t="inlineStr">
        <is>
          <t>EUR 0 (base case)</t>
        </is>
      </c>
      <c r="C12" s="6" t="inlineStr">
        <is>
          <t>Conservative: contract ends, walk away. Scenarios for renewal/liquidation modeled</t>
        </is>
      </c>
    </row>
    <row r="13">
      <c r="A13" s="6" t="inlineStr">
        <is>
          <t>Revenue Growth</t>
        </is>
      </c>
      <c r="B13" s="6" t="inlineStr">
        <is>
          <t>5% annually (Years 2-13)</t>
        </is>
      </c>
      <c r="C13" s="6" t="inlineStr">
        <is>
          <t>Clinic ramp + spa cross-sell. Validated against capacity model</t>
        </is>
      </c>
    </row>
    <row r="14">
      <c r="A14" s="6" t="inlineStr">
        <is>
          <t>Tax Rate</t>
        </is>
      </c>
      <c r="B14" s="6" t="inlineStr">
        <is>
          <t>5% effective</t>
        </is>
      </c>
      <c r="C14" s="6" t="inlineStr">
        <is>
          <t>Malta imputation system for EU-resident shareholders</t>
        </is>
      </c>
    </row>
    <row r="15">
      <c r="A15" s="6" t="inlineStr">
        <is>
          <t>Marketing Budget</t>
        </is>
      </c>
      <c r="B15" s="6" t="inlineStr">
        <is>
          <t>5-8% of revenue</t>
        </is>
      </c>
      <c r="C15" s="6" t="inlineStr">
        <is>
          <t>Year 1 at 8% for clinic launch, declining to 5%</t>
        </is>
      </c>
    </row>
    <row r="17" ht="25" customHeight="1">
      <c r="A17" s="3" t="inlineStr">
        <is>
          <t>MODEL NAVIGATION - SHEET INDEX</t>
        </is>
      </c>
    </row>
    <row r="18">
      <c r="A18" s="5" t="inlineStr">
        <is>
          <t>Sheet</t>
        </is>
      </c>
      <c r="B18" s="5" t="inlineStr">
        <is>
          <t>Purpose</t>
        </is>
      </c>
      <c r="C18" s="5" t="inlineStr">
        <is>
          <t>When to Read</t>
        </is>
      </c>
    </row>
    <row r="19">
      <c r="A19" s="6" t="inlineStr">
        <is>
          <t>1. Instructions</t>
        </is>
      </c>
      <c r="B19" s="6" t="inlineStr">
        <is>
          <t>This page - overview, navigation, FAQ</t>
        </is>
      </c>
      <c r="C19" s="6" t="inlineStr">
        <is>
          <t>Start here</t>
        </is>
      </c>
    </row>
    <row r="20">
      <c r="A20" s="6" t="inlineStr">
        <is>
          <t>2. Version Control</t>
        </is>
      </c>
      <c r="B20" s="6" t="inlineStr">
        <is>
          <t>Change log, assumption audit trail</t>
        </is>
      </c>
      <c r="C20" s="6" t="inlineStr">
        <is>
          <t>When reviewing model history</t>
        </is>
      </c>
    </row>
    <row r="21">
      <c r="A21" s="6" t="inlineStr">
        <is>
          <t>3. Model Parameters</t>
        </is>
      </c>
      <c r="B21" s="6" t="inlineStr">
        <is>
          <t>All assumptions with sources, ranges, sensitivity</t>
        </is>
      </c>
      <c r="C21" s="6" t="inlineStr">
        <is>
          <t>Before any analysis - foundation</t>
        </is>
      </c>
    </row>
    <row r="22">
      <c r="A22" s="6" t="inlineStr">
        <is>
          <t>4. Monthly P&amp;L Year 1</t>
        </is>
      </c>
      <c r="B22" s="6" t="inlineStr">
        <is>
          <t>Month-by-month ramp (clinic starts Month 3)</t>
        </is>
      </c>
      <c r="C22" s="6" t="inlineStr">
        <is>
          <t>Understanding Year 1 cash dynamics</t>
        </is>
      </c>
    </row>
    <row r="23">
      <c r="A23" s="6" t="inlineStr">
        <is>
          <t>5. 13-Year P&amp;L Piano</t>
        </is>
      </c>
      <c r="B23" s="6" t="inlineStr">
        <is>
          <t>Annual projections across Bear/Base/Bull</t>
        </is>
      </c>
      <c r="C23" s="6" t="inlineStr">
        <is>
          <t>Big picture financial trajectory</t>
        </is>
      </c>
    </row>
    <row r="24">
      <c r="A24" s="6" t="inlineStr">
        <is>
          <t>6. Spa vs Clinic P&amp;Ls</t>
        </is>
      </c>
      <c r="B24" s="6" t="inlineStr">
        <is>
          <t>Separate business unit economics</t>
        </is>
      </c>
      <c r="C24" s="6" t="inlineStr">
        <is>
          <t>Understanding margin drivers</t>
        </is>
      </c>
    </row>
    <row r="25">
      <c r="A25" s="6" t="inlineStr">
        <is>
          <t>7. Capacity Model</t>
        </is>
      </c>
      <c r="B25" s="6" t="inlineStr">
        <is>
          <t>Physical room/therapist capacity validation</t>
        </is>
      </c>
      <c r="C25" s="6" t="inlineStr">
        <is>
          <t>Verifying revenue is achievable</t>
        </is>
      </c>
    </row>
    <row r="26">
      <c r="A26" s="6" t="inlineStr">
        <is>
          <t>8. Free Cash Flow Build</t>
        </is>
      </c>
      <c r="B26" s="6" t="inlineStr">
        <is>
          <t>EBITDA to Unlevered FCF conversion</t>
        </is>
      </c>
      <c r="C26" s="6" t="inlineStr">
        <is>
          <t>True cash generation analysis</t>
        </is>
      </c>
    </row>
    <row r="27">
      <c r="A27" s="6" t="inlineStr">
        <is>
          <t>9. DCF Valuation</t>
        </is>
      </c>
      <c r="B27" s="6" t="inlineStr">
        <is>
          <t>Fixed 18% discount rate, terminal value scenarios</t>
        </is>
      </c>
      <c r="C27" s="6" t="inlineStr">
        <is>
          <t>Core valuation output</t>
        </is>
      </c>
    </row>
    <row r="28">
      <c r="A28" s="6" t="inlineStr">
        <is>
          <t>10. IRR &amp; Returns</t>
        </is>
      </c>
      <c r="B28" s="6" t="inlineStr">
        <is>
          <t>IRR sensitivity, MOIC, payback, levered returns</t>
        </is>
      </c>
      <c r="C28" s="6" t="inlineStr">
        <is>
          <t>Investment return metrics</t>
        </is>
      </c>
    </row>
    <row r="29">
      <c r="A29" s="6" t="inlineStr">
        <is>
          <t>11. Customer Analysis</t>
        </is>
      </c>
      <c r="B29" s="6" t="inlineStr">
        <is>
          <t>CAC, LTV, retention modeling, acquisition channels</t>
        </is>
      </c>
      <c r="C29" s="6" t="inlineStr">
        <is>
          <t>Revenue driver validation</t>
        </is>
      </c>
    </row>
    <row r="30">
      <c r="A30" s="6" t="inlineStr">
        <is>
          <t>12. Scenario Probability</t>
        </is>
      </c>
      <c r="B30" s="6" t="inlineStr">
        <is>
          <t>Probability-weighted EV across scenarios</t>
        </is>
      </c>
      <c r="C30" s="6" t="inlineStr">
        <is>
          <t>Expected value of investment</t>
        </is>
      </c>
    </row>
    <row r="31">
      <c r="A31" s="6" t="inlineStr">
        <is>
          <t>13. Exit Analysis</t>
        </is>
      </c>
      <c r="B31" s="6" t="inlineStr">
        <is>
          <t>Returns at Year 5, 8, 13 under each scenario</t>
        </is>
      </c>
      <c r="C31" s="6" t="inlineStr">
        <is>
          <t>Liquidity/exit planning</t>
        </is>
      </c>
    </row>
    <row r="32">
      <c r="A32" s="6" t="inlineStr">
        <is>
          <t>14. Comparable Companies</t>
        </is>
      </c>
      <c r="B32" s="6" t="inlineStr">
        <is>
          <t>European wellness trading multiples</t>
        </is>
      </c>
      <c r="C32" s="6" t="inlineStr">
        <is>
          <t>Relative valuation context</t>
        </is>
      </c>
    </row>
    <row r="33">
      <c r="A33" s="6" t="inlineStr">
        <is>
          <t>15. KPI Dashboard</t>
        </is>
      </c>
      <c r="B33" s="6" t="inlineStr">
        <is>
          <t>Monthly tracking framework with RAG thresholds</t>
        </is>
      </c>
      <c r="C33" s="6" t="inlineStr">
        <is>
          <t>Post-acquisition management</t>
        </is>
      </c>
    </row>
    <row r="34">
      <c r="A34" s="6" t="inlineStr">
        <is>
          <t>16. Valuation Waterfall &amp; Summary</t>
        </is>
      </c>
      <c r="B34" s="6" t="inlineStr">
        <is>
          <t>Seller ask to buyer offer bridge + exec summary</t>
        </is>
      </c>
      <c r="C34" s="6" t="inlineStr">
        <is>
          <t>Negotiation and decision support</t>
        </is>
      </c>
    </row>
    <row r="36" ht="25" customHeight="1">
      <c r="A36" s="3" t="inlineStr">
        <is>
          <t>FREQUENTLY ASKED QUESTIONS</t>
        </is>
      </c>
    </row>
    <row r="37">
      <c r="A37" s="5" t="inlineStr">
        <is>
          <t>Question</t>
        </is>
      </c>
      <c r="B37" s="5" t="inlineStr">
        <is>
          <t>Answer</t>
        </is>
      </c>
      <c r="C37" s="5" t="inlineStr">
        <is>
          <t>See Sheet</t>
        </is>
      </c>
    </row>
    <row r="38">
      <c r="A38" s="6" t="inlineStr">
        <is>
          <t>What is the payback period?</t>
        </is>
      </c>
      <c r="B38" s="6" t="inlineStr">
        <is>
          <t>Bear: 4.5 yrs | Base: 2.3 yrs | Bull: 0.9 yrs (at EUR 500K investment)</t>
        </is>
      </c>
      <c r="C38" s="6" t="inlineStr">
        <is>
          <t>10. IRR &amp; Returns</t>
        </is>
      </c>
    </row>
    <row r="39">
      <c r="A39" s="6" t="inlineStr">
        <is>
          <t>What is the expected return?</t>
        </is>
      </c>
      <c r="B39" s="6" t="inlineStr">
        <is>
          <t>Probability-weighted IRR: see Scenario Probability sheet</t>
        </is>
      </c>
      <c r="C39" s="6" t="inlineStr">
        <is>
          <t>12. Scenario Probability</t>
        </is>
      </c>
    </row>
    <row r="40">
      <c r="A40" s="6" t="inlineStr">
        <is>
          <t>Can the spa physically generate this revenue?</t>
        </is>
      </c>
      <c r="B40" s="6" t="inlineStr">
        <is>
          <t>Capacity model validates max revenue against rooms/hours/utilization</t>
        </is>
      </c>
      <c r="C40" s="6" t="inlineStr">
        <is>
          <t>7. Capacity Model</t>
        </is>
      </c>
    </row>
    <row r="41">
      <c r="A41" s="6" t="inlineStr">
        <is>
          <t>What if the clinic launch is delayed?</t>
        </is>
      </c>
      <c r="B41" s="6" t="inlineStr">
        <is>
          <t>Monthly P&amp;L shows clinic starting Month 3; delay scenarios in breakeven analysis</t>
        </is>
      </c>
      <c r="C41" s="6" t="inlineStr">
        <is>
          <t>4. Monthly P&amp;L Year 1</t>
        </is>
      </c>
    </row>
    <row r="42">
      <c r="A42" s="6" t="inlineStr">
        <is>
          <t>How much marketing do we need?</t>
        </is>
      </c>
      <c r="B42" s="6" t="inlineStr">
        <is>
          <t>Year 1: 8% of revenue (~EUR 4-6K/month); Years 2+: 5-6%</t>
        </is>
      </c>
      <c r="C42" s="6" t="inlineStr">
        <is>
          <t>3. Model Parameters</t>
        </is>
      </c>
    </row>
    <row r="43">
      <c r="A43" s="6" t="inlineStr">
        <is>
          <t>What is the minimum cash reserve?</t>
        </is>
      </c>
      <c r="B43" s="6" t="inlineStr">
        <is>
          <t>Working capital analysis shows trough; recommend EUR 50-75K buffer</t>
        </is>
      </c>
      <c r="C43" s="6" t="inlineStr">
        <is>
          <t>8. Free Cash Flow Build</t>
        </is>
      </c>
    </row>
    <row r="44">
      <c r="A44" s="6" t="inlineStr">
        <is>
          <t>What are comparable deal multiples?</t>
        </is>
      </c>
      <c r="B44" s="6" t="inlineStr">
        <is>
          <t>European wellness trades at 5-8x EBITDA; this deal at 4.4x</t>
        </is>
      </c>
      <c r="C44" s="6" t="inlineStr">
        <is>
          <t>14. Comparable Companies</t>
        </is>
      </c>
    </row>
    <row r="45">
      <c r="A45" s="6" t="inlineStr">
        <is>
          <t>What if we finance part of it?</t>
        </is>
      </c>
      <c r="B45" s="6" t="inlineStr">
        <is>
          <t>Levered return scenarios at 0%, 30%, 50% debt modeled</t>
        </is>
      </c>
      <c r="C45" s="6" t="inlineStr">
        <is>
          <t>10. IRR &amp; Returns</t>
        </is>
      </c>
    </row>
    <row r="46">
      <c r="A46" s="6" t="inlineStr">
        <is>
          <t>What happens at Year 13 (lease end)?</t>
        </is>
      </c>
      <c r="B46" s="6" t="inlineStr">
        <is>
          <t>Three terminal value scenarios: walk-away, liquidation, renewal</t>
        </is>
      </c>
      <c r="C46" s="6" t="inlineStr">
        <is>
          <t>9. DCF Valuation</t>
        </is>
      </c>
    </row>
    <row r="47">
      <c r="A47" s="6" t="inlineStr">
        <is>
          <t>What is the seller really worth?</t>
        </is>
      </c>
      <c r="B47" s="6" t="inlineStr">
        <is>
          <t>EUR 250-325K based on 3.5-4.5x current EBITDA of EUR 72K</t>
        </is>
      </c>
      <c r="C47" s="6" t="inlineStr">
        <is>
          <t>16. Valuation Waterfall</t>
        </is>
      </c>
    </row>
    <row r="49" ht="25" customHeight="1">
      <c r="A49" s="3" t="inlineStr">
        <is>
          <t>CRITICAL CHANGES FROM PREVIOUS MODEL (v1.0)</t>
        </is>
      </c>
    </row>
    <row r="50">
      <c r="A50" s="5" t="inlineStr">
        <is>
          <t>Issue in v1.0</t>
        </is>
      </c>
      <c r="B50" s="5" t="inlineStr">
        <is>
          <t>Fix in v2.0</t>
        </is>
      </c>
      <c r="C50" s="5" t="inlineStr">
        <is>
          <t>Impact</t>
        </is>
      </c>
    </row>
    <row r="51">
      <c r="A51" s="7" t="inlineStr">
        <is>
          <t>Discount rate inconsistency (15% stated, 20% used in DCF)</t>
        </is>
      </c>
      <c r="B51" s="7" t="inlineStr">
        <is>
          <t>Standardized to 18% primary, with 15/20/25% sensitivity</t>
        </is>
      </c>
      <c r="C51" s="7" t="inlineStr">
        <is>
          <t>EV changes significantly</t>
        </is>
      </c>
    </row>
    <row r="52">
      <c r="A52" s="7" t="inlineStr">
        <is>
          <t>No marketing costs modeled (unrealistic zero)</t>
        </is>
      </c>
      <c r="B52" s="7" t="inlineStr">
        <is>
          <t>Added 5-8% of revenue marketing budget</t>
        </is>
      </c>
      <c r="C52" s="7" t="inlineStr">
        <is>
          <t>EBITDA reduced by EUR 30-60K/year</t>
        </is>
      </c>
    </row>
    <row r="53">
      <c r="A53" s="7" t="inlineStr">
        <is>
          <t>EBITDA used as proxy for cash flow (no capex/tax/WC)</t>
        </is>
      </c>
      <c r="B53" s="7" t="inlineStr">
        <is>
          <t>Full UFCF build: EBITDA - maintenance capex - tax - WC changes</t>
        </is>
      </c>
      <c r="C53" s="7" t="inlineStr">
        <is>
          <t>More conservative, more accurate</t>
        </is>
      </c>
    </row>
    <row r="54">
      <c r="A54" s="7" t="inlineStr">
        <is>
          <t>No capacity validation</t>
        </is>
      </c>
      <c r="B54" s="7" t="inlineStr">
        <is>
          <t>Physical room/therapist capacity model added</t>
        </is>
      </c>
      <c r="C54" s="7" t="inlineStr">
        <is>
          <t>Confirms or constrains revenue assumptions</t>
        </is>
      </c>
    </row>
    <row r="55">
      <c r="A55" s="7" t="inlineStr">
        <is>
          <t>No customer economics</t>
        </is>
      </c>
      <c r="B55" s="7" t="inlineStr">
        <is>
          <t>CAC, LTV, retention, attrition modeling</t>
        </is>
      </c>
      <c r="C55" s="7" t="inlineStr">
        <is>
          <t>Validates revenue sustainability</t>
        </is>
      </c>
    </row>
    <row r="56">
      <c r="A56" s="7" t="inlineStr">
        <is>
          <t>No MOIC calculation</t>
        </is>
      </c>
      <c r="B56" s="7" t="inlineStr">
        <is>
          <t>Money-on-money multiple added for all scenarios</t>
        </is>
      </c>
      <c r="C56" s="7" t="inlineStr">
        <is>
          <t>Clearer return communication</t>
        </is>
      </c>
    </row>
    <row r="57">
      <c r="A57" s="7" t="inlineStr">
        <is>
          <t>Single flat Year 1 assumption</t>
        </is>
      </c>
      <c r="B57" s="7" t="inlineStr">
        <is>
          <t>Month-by-month ramp with clinic starting Month 3</t>
        </is>
      </c>
      <c r="C57" s="7" t="inlineStr">
        <is>
          <t>More realistic Year 1 cash profile</t>
        </is>
      </c>
    </row>
    <row r="58">
      <c r="A58" s="7" t="inlineStr">
        <is>
          <t>Combined spa + clinic P&amp;L</t>
        </is>
      </c>
      <c r="B58" s="7" t="inlineStr">
        <is>
          <t>Separated business unit P&amp;Ls</t>
        </is>
      </c>
      <c r="C58" s="7" t="inlineStr">
        <is>
          <t>Clearer margin and risk attribution</t>
        </is>
      </c>
    </row>
    <row r="59">
      <c r="A59" s="7" t="inlineStr">
        <is>
          <t>No probability weighting</t>
        </is>
      </c>
      <c r="B59" s="7" t="inlineStr">
        <is>
          <t>Bear 25% / Base 50% / Bull 25% weighted EV</t>
        </is>
      </c>
      <c r="C59" s="7" t="inlineStr">
        <is>
          <t>Single expected value metric</t>
        </is>
      </c>
    </row>
    <row r="60">
      <c r="A60" s="7" t="inlineStr">
        <is>
          <t>No exit analysis</t>
        </is>
      </c>
      <c r="B60" s="7" t="inlineStr">
        <is>
          <t>Year 5, 8, 13 exit returns modeled</t>
        </is>
      </c>
      <c r="C60" s="7" t="inlineStr">
        <is>
          <t>Liquidity planning</t>
        </is>
      </c>
    </row>
    <row r="62">
      <c r="A62" s="8" t="inlineStr">
        <is>
          <t>DISCLAIMER: This model is for internal analysis only. All projections are estimates based on stated assumptions. Actual results may vary materially. Independent professional advice should be obtained before making investment decisions.</t>
        </is>
      </c>
    </row>
  </sheetData>
  <mergeCells count="9">
    <mergeCell ref="A36:C36"/>
    <mergeCell ref="A49:C49"/>
    <mergeCell ref="A1:C1"/>
    <mergeCell ref="A5:C5"/>
    <mergeCell ref="A17:C17"/>
    <mergeCell ref="A62:C62"/>
    <mergeCell ref="A7:C7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0" customWidth="1" min="3" max="3"/>
    <col width="45" customWidth="1" min="4" max="4"/>
    <col width="20" customWidth="1" min="5" max="5"/>
  </cols>
  <sheetData>
    <row r="1" ht="35" customHeight="1">
      <c r="A1" s="1" t="inlineStr">
        <is>
          <t>VERSION CONTROL &amp; CHANGE LOG</t>
        </is>
      </c>
    </row>
    <row r="3" ht="25" customHeight="1">
      <c r="A3" s="3" t="inlineStr">
        <is>
          <t>CHANGE LOG</t>
        </is>
      </c>
    </row>
    <row r="4">
      <c r="A4" s="5" t="inlineStr">
        <is>
          <t>Version</t>
        </is>
      </c>
      <c r="B4" s="5" t="inlineStr">
        <is>
          <t>Date</t>
        </is>
      </c>
      <c r="C4" s="5" t="inlineStr">
        <is>
          <t>What Changed</t>
        </is>
      </c>
      <c r="D4" s="5" t="inlineStr">
        <is>
          <t>Why Changed</t>
        </is>
      </c>
      <c r="E4" s="5" t="inlineStr">
        <is>
          <t>Approved By</t>
        </is>
      </c>
    </row>
    <row r="5">
      <c r="A5" s="6" t="inlineStr">
        <is>
          <t>v1.0</t>
        </is>
      </c>
      <c r="B5" s="6" t="inlineStr">
        <is>
          <t>22-Feb-2026</t>
        </is>
      </c>
      <c r="C5" s="6" t="inlineStr">
        <is>
          <t>Initial 5-sheet model created</t>
        </is>
      </c>
      <c r="D5" s="6" t="inlineStr">
        <is>
          <t>First-pass acquisition analysis</t>
        </is>
      </c>
      <c r="E5" s="6" t="inlineStr">
        <is>
          <t>MG</t>
        </is>
      </c>
    </row>
    <row r="6">
      <c r="A6" s="6" t="inlineStr">
        <is>
          <t>v1.1</t>
        </is>
      </c>
      <c r="B6" s="6" t="inlineStr">
        <is>
          <t>22-Feb-2026</t>
        </is>
      </c>
      <c r="C6" s="6" t="inlineStr">
        <is>
          <t>Expert review: McKinsey strategist analysis</t>
        </is>
      </c>
      <c r="D6" s="6" t="inlineStr">
        <is>
          <t>Identified 7 critical gaps in v1.0</t>
        </is>
      </c>
      <c r="E6" s="6" t="inlineStr">
        <is>
          <t>MG</t>
        </is>
      </c>
    </row>
    <row r="7">
      <c r="A7" s="6" t="inlineStr">
        <is>
          <t>v1.2</t>
        </is>
      </c>
      <c r="B7" s="6" t="inlineStr">
        <is>
          <t>22-Feb-2026</t>
        </is>
      </c>
      <c r="C7" s="6" t="inlineStr">
        <is>
          <t>Expert review: Goldman Sachs IB analysis</t>
        </is>
      </c>
      <c r="D7" s="6" t="inlineStr">
        <is>
          <t>Identified valuation methodology issues</t>
        </is>
      </c>
      <c r="E7" s="6" t="inlineStr">
        <is>
          <t>MG</t>
        </is>
      </c>
    </row>
    <row r="8">
      <c r="A8" s="6" t="inlineStr">
        <is>
          <t>v1.3</t>
        </is>
      </c>
      <c r="B8" s="6" t="inlineStr">
        <is>
          <t>22-Feb-2026</t>
        </is>
      </c>
      <c r="C8" s="6" t="inlineStr">
        <is>
          <t>Expert review: Critical gap analysis</t>
        </is>
      </c>
      <c r="D8" s="6" t="inlineStr">
        <is>
          <t>Consolidated all expert recommendations</t>
        </is>
      </c>
      <c r="E8" s="6" t="inlineStr">
        <is>
          <t>MG</t>
        </is>
      </c>
    </row>
    <row r="9">
      <c r="A9" s="6" t="inlineStr">
        <is>
          <t>v2.0</t>
        </is>
      </c>
      <c r="B9" s="6" t="inlineStr">
        <is>
          <t>22-Feb-2026</t>
        </is>
      </c>
      <c r="C9" s="6" t="inlineStr">
        <is>
          <t>ENHANCED MODEL: 16 sheets implementing all expert recommendations</t>
        </is>
      </c>
      <c r="D9" s="6" t="inlineStr">
        <is>
          <t>Investment committee grade model required</t>
        </is>
      </c>
      <c r="E9" s="6" t="inlineStr">
        <is>
          <t>MG</t>
        </is>
      </c>
    </row>
    <row r="11" ht="25" customHeight="1">
      <c r="A11" s="3" t="inlineStr">
        <is>
          <t>ASSUMPTION AUDIT TRAIL</t>
        </is>
      </c>
    </row>
    <row r="12">
      <c r="A12" s="5" t="inlineStr">
        <is>
          <t>Assumption</t>
        </is>
      </c>
      <c r="B12" s="5" t="inlineStr">
        <is>
          <t>v1.0 Value</t>
        </is>
      </c>
      <c r="C12" s="5" t="inlineStr">
        <is>
          <t>v2.0 Value</t>
        </is>
      </c>
      <c r="D12" s="5" t="inlineStr">
        <is>
          <t>Rationale for Change</t>
        </is>
      </c>
      <c r="E12" s="5" t="inlineStr">
        <is>
          <t>Sensitivity Range</t>
        </is>
      </c>
    </row>
    <row r="13">
      <c r="A13" s="6" t="inlineStr">
        <is>
          <t>Discount Rate</t>
        </is>
      </c>
      <c r="B13" s="6" t="inlineStr">
        <is>
          <t>15% (stated) / 20% (DCF)</t>
        </is>
      </c>
      <c r="C13" s="6" t="inlineStr">
        <is>
          <t>18% primary</t>
        </is>
      </c>
      <c r="D13" s="6" t="inlineStr">
        <is>
          <t>Compromise; reflects execution + illiquidity risk</t>
        </is>
      </c>
      <c r="E13" s="6" t="inlineStr">
        <is>
          <t>15% / 18% / 20% / 25%</t>
        </is>
      </c>
    </row>
    <row r="14">
      <c r="A14" s="6" t="inlineStr">
        <is>
          <t>Marketing Costs</t>
        </is>
      </c>
      <c r="B14" s="6" t="inlineStr">
        <is>
          <t>EUR 0 (not modeled)</t>
        </is>
      </c>
      <c r="C14" s="6" t="inlineStr">
        <is>
          <t>5-8% of revenue</t>
        </is>
      </c>
      <c r="D14" s="6" t="inlineStr">
        <is>
          <t>No business runs without marketing; clinic launch needs heavy spend</t>
        </is>
      </c>
      <c r="E14" s="6" t="inlineStr">
        <is>
          <t>3% to 10%</t>
        </is>
      </c>
    </row>
    <row r="15">
      <c r="A15" s="6" t="inlineStr">
        <is>
          <t>Maintenance Capex</t>
        </is>
      </c>
      <c r="B15" s="6" t="inlineStr">
        <is>
          <t>EUR 0 (not modeled)</t>
        </is>
      </c>
      <c r="C15" s="6" t="inlineStr">
        <is>
          <t>3% of equipment value (EUR 9K/yr)</t>
        </is>
      </c>
      <c r="D15" s="6" t="inlineStr">
        <is>
          <t>Equipment requires ongoing maintenance/replacement</t>
        </is>
      </c>
      <c r="E15" s="6" t="inlineStr">
        <is>
          <t>2% to 5%</t>
        </is>
      </c>
    </row>
    <row r="16">
      <c r="A16" s="6" t="inlineStr">
        <is>
          <t>Tax Rate</t>
        </is>
      </c>
      <c r="B16" s="6" t="inlineStr">
        <is>
          <t>0% (not modeled)</t>
        </is>
      </c>
      <c r="C16" s="6" t="inlineStr">
        <is>
          <t>5% effective</t>
        </is>
      </c>
      <c r="D16" s="6" t="inlineStr">
        <is>
          <t>Malta imputation system for EU shareholders</t>
        </is>
      </c>
      <c r="E16" s="6" t="inlineStr">
        <is>
          <t>0% to 15%</t>
        </is>
      </c>
    </row>
    <row r="17">
      <c r="A17" s="6" t="inlineStr">
        <is>
          <t>Year 1 Profile</t>
        </is>
      </c>
      <c r="B17" s="6" t="inlineStr">
        <is>
          <t>Flat annual</t>
        </is>
      </c>
      <c r="C17" s="6" t="inlineStr">
        <is>
          <t>Monthly ramp, clinic Month 3</t>
        </is>
      </c>
      <c r="D17" s="6" t="inlineStr">
        <is>
          <t>Clinic needs 2 months setup; revenue ramps gradually</t>
        </is>
      </c>
      <c r="E17" s="6" t="inlineStr">
        <is>
          <t>Clinic Month 2 to Month 6</t>
        </is>
      </c>
    </row>
    <row r="18">
      <c r="A18" s="6" t="inlineStr">
        <is>
          <t>Cost Inflation</t>
        </is>
      </c>
      <c r="B18" s="6" t="inlineStr">
        <is>
          <t>2.5% uniform</t>
        </is>
      </c>
      <c r="C18" s="6" t="inlineStr">
        <is>
          <t>Category-specific (2-4.5%)</t>
        </is>
      </c>
      <c r="D18" s="6" t="inlineStr">
        <is>
          <t>Medical COGS inflates faster than utilities</t>
        </is>
      </c>
      <c r="E18" s="6" t="inlineStr">
        <is>
          <t>See parameters sheet</t>
        </is>
      </c>
    </row>
    <row r="19">
      <c r="A19" s="6" t="inlineStr">
        <is>
          <t>Client Attrition</t>
        </is>
      </c>
      <c r="B19" s="6" t="inlineStr">
        <is>
          <t>Not modeled</t>
        </is>
      </c>
      <c r="C19" s="6" t="inlineStr">
        <is>
          <t>20% Year 1, recovering</t>
        </is>
      </c>
      <c r="D19" s="6" t="inlineStr">
        <is>
          <t>Ownership transitions cause churn</t>
        </is>
      </c>
      <c r="E19" s="6" t="inlineStr">
        <is>
          <t>10% to 30%</t>
        </is>
      </c>
    </row>
    <row r="20">
      <c r="A20" s="6" t="inlineStr">
        <is>
          <t>Terminal Value</t>
        </is>
      </c>
      <c r="B20" s="6" t="inlineStr">
        <is>
          <t>EUR 0 only</t>
        </is>
      </c>
      <c r="C20" s="6" t="inlineStr">
        <is>
          <t>3 scenarios: 0 / liquidation / renewal</t>
        </is>
      </c>
      <c r="D20" s="6" t="inlineStr">
        <is>
          <t>Multiple outcomes possible at lease end</t>
        </is>
      </c>
      <c r="E20" s="6" t="inlineStr">
        <is>
          <t>See DCF sheet</t>
        </is>
      </c>
    </row>
    <row r="21">
      <c r="A21" s="6" t="inlineStr">
        <is>
          <t>Scenario Probabilities</t>
        </is>
      </c>
      <c r="B21" s="6" t="inlineStr">
        <is>
          <t>Not weighted</t>
        </is>
      </c>
      <c r="C21" s="6" t="inlineStr">
        <is>
          <t>Bear 25% / Base 50% / Bull 25%</t>
        </is>
      </c>
      <c r="D21" s="6" t="inlineStr">
        <is>
          <t>Expected value calculation requires weighting</t>
        </is>
      </c>
      <c r="E21" s="6" t="inlineStr">
        <is>
          <t>Adjustable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20" customWidth="1" min="4" max="4"/>
    <col width="40" customWidth="1" min="5" max="5"/>
  </cols>
  <sheetData>
    <row r="1" ht="35" customHeight="1">
      <c r="A1" s="1" t="inlineStr">
        <is>
          <t>MODEL PARAMETERS &amp; ASSUMPTIONS</t>
        </is>
      </c>
    </row>
    <row r="2">
      <c r="A2" s="9" t="inlineStr">
        <is>
          <t>PURPOSE: Single source of truth for all model inputs. Every assumption documented with source, rationale, and sensitivity range.</t>
        </is>
      </c>
    </row>
    <row r="4" ht="25" customHeight="1">
      <c r="A4" s="3" t="inlineStr">
        <is>
          <t>INVESTMENT PARAMETERS</t>
        </is>
      </c>
    </row>
    <row r="5">
      <c r="A5" s="5" t="inlineStr">
        <is>
          <t>Parameter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Sensitivity Range</t>
        </is>
      </c>
      <c r="E5" s="5" t="inlineStr">
        <is>
          <t>Source / Rationale</t>
        </is>
      </c>
    </row>
    <row r="6">
      <c r="A6" s="6" t="inlineStr">
        <is>
          <t>Total Investment (Capex)</t>
        </is>
      </c>
      <c r="B6" s="10" t="n">
        <v>500000</v>
      </c>
      <c r="C6" s="6" t="inlineStr">
        <is>
          <t>EUR</t>
        </is>
      </c>
      <c r="D6" s="6" t="inlineStr">
        <is>
          <t>300K - 600K</t>
        </is>
      </c>
      <c r="E6" s="6" t="inlineStr">
        <is>
          <t>Purchase price + clinic fit-out + working capital</t>
        </is>
      </c>
    </row>
    <row r="7">
      <c r="A7" s="6" t="inlineStr">
        <is>
          <t>Purchase Price (Seller)</t>
        </is>
      </c>
      <c r="B7" s="10" t="n">
        <v>350000</v>
      </c>
      <c r="C7" s="6" t="inlineStr">
        <is>
          <t>EUR</t>
        </is>
      </c>
      <c r="D7" s="6" t="inlineStr">
        <is>
          <t>320K - 400K</t>
        </is>
      </c>
      <c r="E7" s="6" t="inlineStr">
        <is>
          <t>4.4x EBITDA; negotiation target EUR 320K + EUR 30K earnout</t>
        </is>
      </c>
    </row>
    <row r="8">
      <c r="A8" s="6" t="inlineStr">
        <is>
          <t>Clinic Build-Out Capex</t>
        </is>
      </c>
      <c r="B8" s="10" t="n">
        <v>150000</v>
      </c>
      <c r="C8" s="6" t="inlineStr">
        <is>
          <t>EUR</t>
        </is>
      </c>
      <c r="D8" s="6" t="inlineStr">
        <is>
          <t>120K - 200K</t>
        </is>
      </c>
      <c r="E8" s="6" t="inlineStr">
        <is>
          <t>Equipment, fit-out, licensing for medical clinic</t>
        </is>
      </c>
    </row>
    <row r="9">
      <c r="A9" s="6" t="inlineStr">
        <is>
          <t>Projection Period</t>
        </is>
      </c>
      <c r="B9" s="10" t="n">
        <v>13</v>
      </c>
      <c r="C9" s="6" t="inlineStr">
        <is>
          <t>Years</t>
        </is>
      </c>
      <c r="D9" s="6" t="inlineStr">
        <is>
          <t>Fixed</t>
        </is>
      </c>
      <c r="E9" s="6" t="inlineStr">
        <is>
          <t>Lease contract length</t>
        </is>
      </c>
    </row>
    <row r="10">
      <c r="A10" s="6" t="inlineStr">
        <is>
          <t>Terminal Value (Base)</t>
        </is>
      </c>
      <c r="B10" s="10" t="n">
        <v>0</v>
      </c>
      <c r="C10" s="6" t="inlineStr">
        <is>
          <t>EUR</t>
        </is>
      </c>
      <c r="D10" s="6" t="inlineStr">
        <is>
          <t>0 / 50-100K / 4x EBITDA</t>
        </is>
      </c>
      <c r="E10" s="6" t="inlineStr">
        <is>
          <t>Contract ends; 3 scenarios modeled</t>
        </is>
      </c>
    </row>
    <row r="12" ht="25" customHeight="1">
      <c r="A12" s="3" t="inlineStr">
        <is>
          <t>DISCOUNT RATES</t>
        </is>
      </c>
    </row>
    <row r="13">
      <c r="A13" s="5" t="inlineStr">
        <is>
          <t>Component</t>
        </is>
      </c>
      <c r="B13" s="5" t="inlineStr">
        <is>
          <t>Rate</t>
        </is>
      </c>
      <c r="C13" s="5" t="inlineStr">
        <is>
          <t>Rationale</t>
        </is>
      </c>
      <c r="D13" s="5" t="inlineStr"/>
      <c r="E13" s="5" t="inlineStr"/>
    </row>
    <row r="14">
      <c r="A14" s="6" t="inlineStr">
        <is>
          <t>Risk-Free Rate (Malta 10Y)</t>
        </is>
      </c>
      <c r="B14" s="11" t="n">
        <v>0.035</v>
      </c>
      <c r="C14" s="6" t="inlineStr">
        <is>
          <t>Malta government bond yield</t>
        </is>
      </c>
      <c r="D14" s="6" t="inlineStr"/>
      <c r="E14" s="6" t="inlineStr"/>
    </row>
    <row r="15">
      <c r="A15" s="6" t="inlineStr">
        <is>
          <t>Equity Risk Premium</t>
        </is>
      </c>
      <c r="B15" s="11" t="n">
        <v>0.065</v>
      </c>
      <c r="C15" s="6" t="inlineStr">
        <is>
          <t>Mature market + country premium</t>
        </is>
      </c>
      <c r="D15" s="6" t="inlineStr"/>
      <c r="E15" s="6" t="inlineStr"/>
    </row>
    <row r="16">
      <c r="A16" s="6" t="inlineStr">
        <is>
          <t>Small Business Premium</t>
        </is>
      </c>
      <c r="B16" s="11" t="n">
        <v>0.04</v>
      </c>
      <c r="C16" s="6" t="inlineStr">
        <is>
          <t>Illiquidity, key-person risk, single-location</t>
        </is>
      </c>
      <c r="D16" s="6" t="inlineStr"/>
      <c r="E16" s="6" t="inlineStr"/>
    </row>
    <row r="17">
      <c r="A17" s="6" t="inlineStr">
        <is>
          <t>Execution Risk Premium</t>
        </is>
      </c>
      <c r="B17" s="11" t="n">
        <v>0.035</v>
      </c>
      <c r="C17" s="6" t="inlineStr">
        <is>
          <t>Clinic build-out, new market entry</t>
        </is>
      </c>
      <c r="D17" s="6" t="inlineStr"/>
      <c r="E17" s="6" t="inlineStr"/>
    </row>
    <row r="18">
      <c r="A18" s="12" t="inlineStr">
        <is>
          <t>PRIMARY DISCOUNT RATE</t>
        </is>
      </c>
      <c r="B18" s="13" t="n">
        <v>0.18</v>
      </c>
      <c r="C18" s="12" t="inlineStr">
        <is>
          <t>SUM of above components (rounded)</t>
        </is>
      </c>
      <c r="D18" s="12" t="inlineStr"/>
      <c r="E18" s="12" t="inlineStr"/>
    </row>
    <row r="19">
      <c r="A19" s="14" t="inlineStr">
        <is>
          <t>NOTE: v1.0 stated 15% WACC in assumptions but used 20% in DCF. This v2.0 uses 18% as primary with sensitivity at 15%, 20%, 25%.</t>
        </is>
      </c>
    </row>
    <row r="21" ht="25" customHeight="1">
      <c r="A21" s="3" t="inlineStr">
        <is>
          <t>REVENUE SCENARIOS (Year 1 Monthly Run-Rate)</t>
        </is>
      </c>
    </row>
    <row r="22">
      <c r="A22" s="5" t="inlineStr">
        <is>
          <t>Scenario</t>
        </is>
      </c>
      <c r="B22" s="5" t="inlineStr">
        <is>
          <t>Spa Monthly</t>
        </is>
      </c>
      <c r="C22" s="5" t="inlineStr">
        <is>
          <t>Clinic Monthly</t>
        </is>
      </c>
      <c r="D22" s="5" t="inlineStr">
        <is>
          <t>Total Monthly</t>
        </is>
      </c>
      <c r="E22" s="5" t="inlineStr">
        <is>
          <t>Annual Baseline</t>
        </is>
      </c>
    </row>
    <row r="23">
      <c r="A23" s="6" t="inlineStr">
        <is>
          <t>BEAR (25% probability)</t>
        </is>
      </c>
      <c r="B23" s="10" t="n">
        <v>25000</v>
      </c>
      <c r="C23" s="10" t="n">
        <v>20000</v>
      </c>
      <c r="D23" s="10" t="n">
        <v>45000</v>
      </c>
      <c r="E23" s="10" t="n">
        <v>540000</v>
      </c>
    </row>
    <row r="24">
      <c r="A24" s="6" t="inlineStr">
        <is>
          <t>BASE (50% probability)</t>
        </is>
      </c>
      <c r="B24" s="10" t="n">
        <v>30000</v>
      </c>
      <c r="C24" s="10" t="n">
        <v>30000</v>
      </c>
      <c r="D24" s="10" t="n">
        <v>60000</v>
      </c>
      <c r="E24" s="10" t="n">
        <v>720000</v>
      </c>
    </row>
    <row r="25">
      <c r="A25" s="6" t="inlineStr">
        <is>
          <t>BULL (25% probability)</t>
        </is>
      </c>
      <c r="B25" s="10" t="n">
        <v>45000</v>
      </c>
      <c r="C25" s="10" t="n">
        <v>55000</v>
      </c>
      <c r="D25" s="10" t="n">
        <v>100000</v>
      </c>
      <c r="E25" s="10" t="n">
        <v>1200000</v>
      </c>
    </row>
    <row r="27" ht="25" customHeight="1">
      <c r="A27" s="3" t="inlineStr">
        <is>
          <t>GROWTH &amp; INFLATION RATES</t>
        </is>
      </c>
    </row>
    <row r="28">
      <c r="A28" s="5" t="inlineStr">
        <is>
          <t>Category</t>
        </is>
      </c>
      <c r="B28" s="5" t="inlineStr">
        <is>
          <t>Annual Rate</t>
        </is>
      </c>
      <c r="C28" s="5" t="inlineStr">
        <is>
          <t>Sensitivity Range</t>
        </is>
      </c>
      <c r="D28" s="5" t="inlineStr">
        <is>
          <t>Source</t>
        </is>
      </c>
      <c r="E28" s="5" t="inlineStr">
        <is>
          <t>Notes</t>
        </is>
      </c>
    </row>
    <row r="29">
      <c r="A29" s="6" t="inlineStr">
        <is>
          <t>Revenue Growth (Years 2-13)</t>
        </is>
      </c>
      <c r="B29" s="11" t="n">
        <v>0.05</v>
      </c>
      <c r="C29" s="6" t="inlineStr">
        <is>
          <t>3% - 7%</t>
        </is>
      </c>
      <c r="D29" s="6" t="inlineStr">
        <is>
          <t>Clinic expansion + organic</t>
        </is>
      </c>
      <c r="E29" s="6" t="inlineStr">
        <is>
          <t>Validated against capacity model</t>
        </is>
      </c>
    </row>
    <row r="30">
      <c r="A30" s="6" t="inlineStr">
        <is>
          <t>Payroll Inflation</t>
        </is>
      </c>
      <c r="B30" s="11" t="n">
        <v>0.035</v>
      </c>
      <c r="C30" s="6" t="inlineStr">
        <is>
          <t>3% - 4.5%</t>
        </is>
      </c>
      <c r="D30" s="6" t="inlineStr">
        <is>
          <t>Malta wage growth trends</t>
        </is>
      </c>
      <c r="E30" s="6" t="inlineStr">
        <is>
          <t>Largest cost item; sensitive</t>
        </is>
      </c>
    </row>
    <row r="31">
      <c r="A31" s="6" t="inlineStr">
        <is>
          <t>Rent Escalation</t>
        </is>
      </c>
      <c r="B31" s="11" t="n">
        <v>0.02</v>
      </c>
      <c r="C31" s="6" t="inlineStr">
        <is>
          <t>Per lease terms</t>
        </is>
      </c>
      <c r="D31" s="6" t="inlineStr">
        <is>
          <t>Lease agreement</t>
        </is>
      </c>
      <c r="E31" s="6" t="inlineStr">
        <is>
          <t>Fixed per contract if specified</t>
        </is>
      </c>
    </row>
    <row r="32">
      <c r="A32" s="6" t="inlineStr">
        <is>
          <t>Medical COGS Inflation</t>
        </is>
      </c>
      <c r="B32" s="11" t="n">
        <v>0.04</v>
      </c>
      <c r="C32" s="6" t="inlineStr">
        <is>
          <t>3% - 5%</t>
        </is>
      </c>
      <c r="D32" s="6" t="inlineStr">
        <is>
          <t>Healthcare cost indices</t>
        </is>
      </c>
      <c r="E32" s="6" t="inlineStr">
        <is>
          <t>Consumables, injectables price growth</t>
        </is>
      </c>
    </row>
    <row r="33">
      <c r="A33" s="6" t="inlineStr">
        <is>
          <t>Other OpEx Inflation</t>
        </is>
      </c>
      <c r="B33" s="11" t="n">
        <v>0.025</v>
      </c>
      <c r="C33" s="6" t="inlineStr">
        <is>
          <t>2% - 3%</t>
        </is>
      </c>
      <c r="D33" s="6" t="inlineStr">
        <is>
          <t>Malta CPI forecast</t>
        </is>
      </c>
      <c r="E33" s="6" t="inlineStr">
        <is>
          <t>Utilities, maintenance, supplies</t>
        </is>
      </c>
    </row>
    <row r="34">
      <c r="A34" s="6" t="inlineStr">
        <is>
          <t>Marketing % of Revenue</t>
        </is>
      </c>
      <c r="B34" s="6" t="inlineStr">
        <is>
          <t>See below</t>
        </is>
      </c>
      <c r="C34" s="6" t="inlineStr"/>
      <c r="D34" s="6" t="inlineStr">
        <is>
          <t>Industry benchmarks</t>
        </is>
      </c>
      <c r="E34" s="6" t="inlineStr">
        <is>
          <t>Varies by year (launch vs steady)</t>
        </is>
      </c>
    </row>
    <row r="36" ht="25" customHeight="1">
      <c r="A36" s="3" t="inlineStr">
        <is>
          <t>MARKETING BUDGET (% of Revenue)</t>
        </is>
      </c>
    </row>
    <row r="37">
      <c r="A37" s="5" t="inlineStr">
        <is>
          <t>Period</t>
        </is>
      </c>
      <c r="B37" s="5" t="inlineStr">
        <is>
          <t>% of Revenue</t>
        </is>
      </c>
      <c r="C37" s="5" t="inlineStr">
        <is>
          <t>Monthly EUR (Base)</t>
        </is>
      </c>
      <c r="D37" s="5" t="inlineStr">
        <is>
          <t>Rationale</t>
        </is>
      </c>
      <c r="E37" s="5" t="inlineStr"/>
    </row>
    <row r="38">
      <c r="A38" s="6" t="inlineStr">
        <is>
          <t>Year 1 (Clinic Launch)</t>
        </is>
      </c>
      <c r="B38" s="11" t="n">
        <v>0.08</v>
      </c>
      <c r="C38" s="11" t="n">
        <v>4800</v>
      </c>
      <c r="D38" s="6" t="inlineStr">
        <is>
          <t>Heavy launch marketing: digital ads, local PR, referral programs</t>
        </is>
      </c>
      <c r="E38" s="6" t="inlineStr"/>
    </row>
    <row r="39">
      <c r="A39" s="6" t="inlineStr">
        <is>
          <t>Years 2-5 (Growth Phase)</t>
        </is>
      </c>
      <c r="B39" s="11" t="n">
        <v>0.06</v>
      </c>
      <c r="C39" s="11" t="n">
        <v>3600</v>
      </c>
      <c r="D39" s="6" t="inlineStr">
        <is>
          <t>Sustained acquisition + retention marketing</t>
        </is>
      </c>
      <c r="E39" s="6" t="inlineStr"/>
    </row>
    <row r="40">
      <c r="A40" s="6" t="inlineStr">
        <is>
          <t>Years 6-13 (Steady State)</t>
        </is>
      </c>
      <c r="B40" s="11" t="n">
        <v>0.05</v>
      </c>
      <c r="C40" s="11" t="n">
        <v>3000</v>
      </c>
      <c r="D40" s="6" t="inlineStr">
        <is>
          <t>Maintenance marketing, referrals dominant</t>
        </is>
      </c>
      <c r="E40" s="6" t="inlineStr"/>
    </row>
    <row r="41">
      <c r="A41" s="15" t="inlineStr">
        <is>
          <t>CRITICAL FIX: v1.0 had ZERO marketing costs. No business operates without marketing. Minimum EUR 3-6K/month required.</t>
        </is>
      </c>
    </row>
    <row r="43" ht="25" customHeight="1">
      <c r="A43" s="3" t="inlineStr">
        <is>
          <t>COST OF GOODS SOLD (COGS) RATES</t>
        </is>
      </c>
    </row>
    <row r="44">
      <c r="A44" s="5" t="inlineStr">
        <is>
          <t>Category</t>
        </is>
      </c>
      <c r="B44" s="5" t="inlineStr">
        <is>
          <t>Rate</t>
        </is>
      </c>
      <c r="C44" s="5" t="inlineStr">
        <is>
          <t>Applied To</t>
        </is>
      </c>
      <c r="D44" s="5" t="inlineStr">
        <is>
          <t>Source</t>
        </is>
      </c>
      <c r="E44" s="5" t="inlineStr"/>
    </row>
    <row r="45">
      <c r="A45" s="6" t="inlineStr">
        <is>
          <t>Spa Consumables</t>
        </is>
      </c>
      <c r="B45" s="11" t="n">
        <v>0.03</v>
      </c>
      <c r="C45" s="6" t="inlineStr">
        <is>
          <t>Spa Revenue</t>
        </is>
      </c>
      <c r="D45" s="6" t="inlineStr">
        <is>
          <t>Industry standard 3-5%</t>
        </is>
      </c>
      <c r="E45" s="6" t="inlineStr"/>
    </row>
    <row r="46">
      <c r="A46" s="6" t="inlineStr">
        <is>
          <t>Clinic Nurse Revenue COGS</t>
        </is>
      </c>
      <c r="B46" s="11" t="n">
        <v>0.35</v>
      </c>
      <c r="C46" s="6" t="inlineStr">
        <is>
          <t>65% of Clinic Revenue</t>
        </is>
      </c>
      <c r="D46" s="6" t="inlineStr">
        <is>
          <t>Nurse costs as % of nurse-delivered revenue</t>
        </is>
      </c>
      <c r="E46" s="6" t="inlineStr"/>
    </row>
    <row r="47">
      <c r="A47" s="6" t="inlineStr">
        <is>
          <t>Clinic Other COGS</t>
        </is>
      </c>
      <c r="B47" s="11" t="n">
        <v>0.05</v>
      </c>
      <c r="C47" s="6" t="inlineStr">
        <is>
          <t>35% of Clinic Revenue</t>
        </is>
      </c>
      <c r="D47" s="6" t="inlineStr">
        <is>
          <t>Non-nurse clinical consumables</t>
        </is>
      </c>
      <c r="E47" s="6" t="inlineStr"/>
    </row>
    <row r="48">
      <c r="A48" s="6" t="inlineStr">
        <is>
          <t>Hotel Partnership Commission</t>
        </is>
      </c>
      <c r="B48" s="11" t="n">
        <v>0.05</v>
      </c>
      <c r="C48" s="6" t="inlineStr">
        <is>
          <t>Spa Revenue</t>
        </is>
      </c>
      <c r="D48" s="6" t="inlineStr">
        <is>
          <t>Referral fee to hotel partner</t>
        </is>
      </c>
      <c r="E48" s="6" t="inlineStr"/>
    </row>
    <row r="49">
      <c r="A49" s="6" t="inlineStr">
        <is>
          <t>Contingency Buffer</t>
        </is>
      </c>
      <c r="B49" s="11" t="n">
        <v>0.02</v>
      </c>
      <c r="C49" s="6" t="inlineStr">
        <is>
          <t>Total Revenue</t>
        </is>
      </c>
      <c r="D49" s="6" t="inlineStr">
        <is>
          <t>Unexpected costs buffer</t>
        </is>
      </c>
      <c r="E49" s="6" t="inlineStr"/>
    </row>
    <row r="51" ht="25" customHeight="1">
      <c r="A51" s="3" t="inlineStr">
        <is>
          <t>BASE PAYROLL (Monthly, Year 1)</t>
        </is>
      </c>
    </row>
    <row r="52">
      <c r="A52" s="5" t="inlineStr">
        <is>
          <t>Role</t>
        </is>
      </c>
      <c r="B52" s="5" t="inlineStr">
        <is>
          <t>Monthly Cost</t>
        </is>
      </c>
      <c r="C52" s="5" t="inlineStr">
        <is>
          <t>Annual Cost</t>
        </is>
      </c>
      <c r="D52" s="5" t="inlineStr">
        <is>
          <t>Business Unit</t>
        </is>
      </c>
      <c r="E52" s="5" t="inlineStr">
        <is>
          <t>Notes</t>
        </is>
      </c>
    </row>
    <row r="53">
      <c r="A53" s="6" t="inlineStr">
        <is>
          <t>Manager</t>
        </is>
      </c>
      <c r="B53" s="10" t="n">
        <v>2500</v>
      </c>
      <c r="C53" s="10" t="n">
        <v>30000</v>
      </c>
      <c r="D53" s="6" t="inlineStr">
        <is>
          <t>Shared</t>
        </is>
      </c>
      <c r="E53" s="6" t="inlineStr">
        <is>
          <t>Oversees both spa and clinic</t>
        </is>
      </c>
    </row>
    <row r="54">
      <c r="A54" s="6" t="inlineStr">
        <is>
          <t>Receptionists (2)</t>
        </is>
      </c>
      <c r="B54" s="10" t="n">
        <v>2400</v>
      </c>
      <c r="C54" s="10" t="n">
        <v>28800</v>
      </c>
      <c r="D54" s="6" t="inlineStr">
        <is>
          <t>Shared</t>
        </is>
      </c>
      <c r="E54" s="6" t="inlineStr">
        <is>
          <t>Front desk, booking, admin</t>
        </is>
      </c>
    </row>
    <row r="55">
      <c r="A55" s="6" t="inlineStr">
        <is>
          <t>Spa Therapists (5)</t>
        </is>
      </c>
      <c r="B55" s="10" t="n">
        <v>9000</v>
      </c>
      <c r="C55" s="10" t="n">
        <v>108000</v>
      </c>
      <c r="D55" s="6" t="inlineStr">
        <is>
          <t>Spa</t>
        </is>
      </c>
      <c r="E55" s="6" t="inlineStr">
        <is>
          <t>EUR 1,800/therapist avg incl. benefits</t>
        </is>
      </c>
    </row>
    <row r="56">
      <c r="A56" s="6" t="inlineStr">
        <is>
          <t>Clinic Therapist (1 base)</t>
        </is>
      </c>
      <c r="B56" s="10" t="n">
        <v>3500</v>
      </c>
      <c r="C56" s="10" t="n">
        <v>42000</v>
      </c>
      <c r="D56" s="6" t="inlineStr">
        <is>
          <t>Clinic</t>
        </is>
      </c>
      <c r="E56" s="6" t="inlineStr">
        <is>
          <t>Scales with revenue tier</t>
        </is>
      </c>
    </row>
    <row r="57">
      <c r="A57" s="6" t="inlineStr">
        <is>
          <t>Clinic Nurse (1)</t>
        </is>
      </c>
      <c r="B57" s="10" t="n">
        <v>5500</v>
      </c>
      <c r="C57" s="10" t="n">
        <v>66000</v>
      </c>
      <c r="D57" s="6" t="inlineStr">
        <is>
          <t>Clinic</t>
        </is>
      </c>
      <c r="E57" s="6" t="inlineStr">
        <is>
          <t>Medical procedures</t>
        </is>
      </c>
    </row>
    <row r="58">
      <c r="A58" s="12" t="inlineStr">
        <is>
          <t>TOTAL PAYROLL</t>
        </is>
      </c>
      <c r="B58" s="16" t="n">
        <v>22900</v>
      </c>
      <c r="C58" s="16" t="n">
        <v>274800</v>
      </c>
      <c r="D58" s="12" t="inlineStr"/>
      <c r="E58" s="12" t="inlineStr"/>
    </row>
    <row r="60" ht="25" customHeight="1">
      <c r="A60" s="3" t="inlineStr">
        <is>
          <t>FIXED OPERATING EXPENSES (Monthly, Year 1)</t>
        </is>
      </c>
    </row>
    <row r="61">
      <c r="A61" s="5" t="inlineStr">
        <is>
          <t>Category</t>
        </is>
      </c>
      <c r="B61" s="5" t="inlineStr">
        <is>
          <t>Monthly Cost</t>
        </is>
      </c>
      <c r="C61" s="5" t="inlineStr">
        <is>
          <t>Annual Cost</t>
        </is>
      </c>
      <c r="D61" s="5" t="inlineStr">
        <is>
          <t>Inflation Rate</t>
        </is>
      </c>
      <c r="E61" s="5" t="inlineStr">
        <is>
          <t>Notes</t>
        </is>
      </c>
    </row>
    <row r="62">
      <c r="A62" s="6" t="inlineStr">
        <is>
          <t>Rent</t>
        </is>
      </c>
      <c r="B62" s="10" t="n">
        <v>5000</v>
      </c>
      <c r="C62" s="10" t="n">
        <v>60000</v>
      </c>
      <c r="D62" s="10" t="n">
        <v>0.02</v>
      </c>
      <c r="E62" s="6" t="inlineStr">
        <is>
          <t>Per lease agreement</t>
        </is>
      </c>
    </row>
    <row r="63">
      <c r="A63" s="6" t="inlineStr">
        <is>
          <t>Utilities</t>
        </is>
      </c>
      <c r="B63" s="10" t="n">
        <v>500</v>
      </c>
      <c r="C63" s="10" t="n">
        <v>6000</v>
      </c>
      <c r="D63" s="10" t="n">
        <v>0.025</v>
      </c>
      <c r="E63" s="6" t="inlineStr">
        <is>
          <t>Electricity, water</t>
        </is>
      </c>
    </row>
    <row r="64">
      <c r="A64" s="6" t="inlineStr">
        <is>
          <t>Maintenance &amp; Repairs</t>
        </is>
      </c>
      <c r="B64" s="10" t="n">
        <v>300</v>
      </c>
      <c r="C64" s="10" t="n">
        <v>3600</v>
      </c>
      <c r="D64" s="10" t="n">
        <v>0.025</v>
      </c>
      <c r="E64" s="6" t="inlineStr">
        <is>
          <t>Building upkeep</t>
        </is>
      </c>
    </row>
    <row r="65">
      <c r="A65" s="6" t="inlineStr">
        <is>
          <t>Cleaning &amp; Laundry</t>
        </is>
      </c>
      <c r="B65" s="10" t="n">
        <v>400</v>
      </c>
      <c r="C65" s="10" t="n">
        <v>4800</v>
      </c>
      <c r="D65" s="10" t="n">
        <v>0.025</v>
      </c>
      <c r="E65" s="6" t="inlineStr">
        <is>
          <t>Daily cleaning, towels, linens</t>
        </is>
      </c>
    </row>
    <row r="66">
      <c r="A66" s="6" t="inlineStr">
        <is>
          <t>Internet &amp; Telephone</t>
        </is>
      </c>
      <c r="B66" s="10" t="n">
        <v>300</v>
      </c>
      <c r="C66" s="10" t="n">
        <v>3600</v>
      </c>
      <c r="D66" s="10" t="n">
        <v>0.025</v>
      </c>
      <c r="E66" s="6" t="inlineStr">
        <is>
          <t>Communications</t>
        </is>
      </c>
    </row>
    <row r="67">
      <c r="A67" s="6" t="inlineStr">
        <is>
          <t>CRM/Booking System</t>
        </is>
      </c>
      <c r="B67" s="10" t="n">
        <v>80</v>
      </c>
      <c r="C67" s="10" t="n">
        <v>960</v>
      </c>
      <c r="D67" s="10" t="n">
        <v>0.025</v>
      </c>
      <c r="E67" s="6" t="inlineStr">
        <is>
          <t>Software subscription</t>
        </is>
      </c>
    </row>
    <row r="68">
      <c r="A68" s="6" t="inlineStr">
        <is>
          <t>Point of Sale</t>
        </is>
      </c>
      <c r="B68" s="10" t="n">
        <v>80</v>
      </c>
      <c r="C68" s="10" t="n">
        <v>960</v>
      </c>
      <c r="D68" s="10" t="n">
        <v>0.025</v>
      </c>
      <c r="E68" s="6" t="inlineStr">
        <is>
          <t>Payment processing</t>
        </is>
      </c>
    </row>
    <row r="69">
      <c r="A69" s="6" t="inlineStr">
        <is>
          <t>Accounting &amp; Bookkeeping</t>
        </is>
      </c>
      <c r="B69" s="10" t="n">
        <v>400</v>
      </c>
      <c r="C69" s="10" t="n">
        <v>4800</v>
      </c>
      <c r="D69" s="10" t="n">
        <v>0.025</v>
      </c>
      <c r="E69" s="6" t="inlineStr">
        <is>
          <t>Professional services</t>
        </is>
      </c>
    </row>
    <row r="70">
      <c r="A70" s="12" t="inlineStr">
        <is>
          <t>TOTAL MONTHLY OPEX</t>
        </is>
      </c>
      <c r="B70" s="16" t="n">
        <v>7060</v>
      </c>
      <c r="C70" s="16" t="n">
        <v>84720</v>
      </c>
      <c r="D70" s="12" t="inlineStr"/>
      <c r="E70" s="12" t="inlineStr"/>
    </row>
    <row r="72" ht="25" customHeight="1">
      <c r="A72" s="3" t="inlineStr">
        <is>
          <t>MAINTENANCE CAPEX &amp; TAX ASSUMPTIONS</t>
        </is>
      </c>
    </row>
    <row r="73">
      <c r="A73" s="5" t="inlineStr">
        <is>
          <t>Parameter</t>
        </is>
      </c>
      <c r="B73" s="5" t="inlineStr">
        <is>
          <t>Value</t>
        </is>
      </c>
      <c r="C73" s="5" t="inlineStr">
        <is>
          <t>Basis</t>
        </is>
      </c>
      <c r="D73" s="5" t="inlineStr">
        <is>
          <t>Source</t>
        </is>
      </c>
      <c r="E73" s="5" t="inlineStr"/>
    </row>
    <row r="74">
      <c r="A74" s="6" t="inlineStr">
        <is>
          <t>Equipment Base Value</t>
        </is>
      </c>
      <c r="B74" s="10" t="n">
        <v>300000</v>
      </c>
      <c r="C74" s="6" t="inlineStr">
        <is>
          <t>EUR</t>
        </is>
      </c>
      <c r="D74" s="6" t="inlineStr">
        <is>
          <t>Initial equipment investment estimate</t>
        </is>
      </c>
      <c r="E74" s="6" t="inlineStr"/>
    </row>
    <row r="75">
      <c r="A75" s="6" t="inlineStr">
        <is>
          <t>Maintenance Capex Rate</t>
        </is>
      </c>
      <c r="B75" s="11" t="n">
        <v>0.03</v>
      </c>
      <c r="C75" s="6" t="inlineStr">
        <is>
          <t>% of equipment base</t>
        </is>
      </c>
      <c r="D75" s="6" t="inlineStr">
        <is>
          <t>Industry norm 3-5% for medical/spa equipment</t>
        </is>
      </c>
      <c r="E75" s="6" t="inlineStr"/>
    </row>
    <row r="76">
      <c r="A76" s="6" t="inlineStr">
        <is>
          <t>Annual Maintenance Capex</t>
        </is>
      </c>
      <c r="B76" s="10" t="n">
        <v>9000</v>
      </c>
      <c r="C76" s="6" t="inlineStr">
        <is>
          <t>EUR/year</t>
        </is>
      </c>
      <c r="D76" s="6" t="inlineStr">
        <is>
          <t>300K x 3% = 9K annually</t>
        </is>
      </c>
      <c r="E76" s="6" t="inlineStr"/>
    </row>
    <row r="77">
      <c r="A77" s="6" t="inlineStr">
        <is>
          <t>Equipment Useful Life</t>
        </is>
      </c>
      <c r="B77" s="6" t="inlineStr">
        <is>
          <t>7-10 years</t>
        </is>
      </c>
      <c r="C77" s="6" t="inlineStr"/>
      <c r="D77" s="6" t="inlineStr">
        <is>
          <t>Depreciation schedule; reserve for replacement</t>
        </is>
      </c>
      <c r="E77" s="6" t="inlineStr"/>
    </row>
    <row r="78">
      <c r="A78" s="6" t="inlineStr">
        <is>
          <t>Effective Tax Rate</t>
        </is>
      </c>
      <c r="B78" s="11" t="n">
        <v>0.05</v>
      </c>
      <c r="C78" s="6" t="inlineStr"/>
      <c r="D78" s="6" t="inlineStr">
        <is>
          <t>Malta imputation: 35% corporate, refundable to 5% for EU shareholders</t>
        </is>
      </c>
      <c r="E78" s="6" t="inlineStr"/>
    </row>
    <row r="79">
      <c r="A79" s="6" t="inlineStr">
        <is>
          <t>Tax Note</t>
        </is>
      </c>
      <c r="B79" s="6" t="inlineStr">
        <is>
          <t>Applied to pre-tax profit</t>
        </is>
      </c>
      <c r="C79" s="6" t="inlineStr"/>
      <c r="D79" s="6" t="inlineStr">
        <is>
          <t>EBITDA - Depreciation = taxable income (simplified)</t>
        </is>
      </c>
      <c r="E79" s="6" t="inlineStr"/>
    </row>
    <row r="81" ht="25" customHeight="1">
      <c r="A81" s="3" t="inlineStr">
        <is>
          <t>SCENARIO PROBABILITY WEIGHTS</t>
        </is>
      </c>
    </row>
    <row r="82">
      <c r="A82" s="5" t="inlineStr">
        <is>
          <t>Scenario</t>
        </is>
      </c>
      <c r="B82" s="5" t="inlineStr">
        <is>
          <t>Probability</t>
        </is>
      </c>
      <c r="C82" s="5" t="inlineStr">
        <is>
          <t>Rationale</t>
        </is>
      </c>
      <c r="D82" s="5" t="inlineStr"/>
      <c r="E82" s="5" t="inlineStr"/>
    </row>
    <row r="83">
      <c r="A83" s="6" t="inlineStr">
        <is>
          <t>BEAR Case</t>
        </is>
      </c>
      <c r="B83" s="11" t="n">
        <v>0.25</v>
      </c>
      <c r="C83" s="6" t="inlineStr">
        <is>
          <t>Clinic underperforms, spa flat, weak marketing. Realistic downside.</t>
        </is>
      </c>
      <c r="D83" s="6" t="inlineStr"/>
      <c r="E83" s="6" t="inlineStr"/>
    </row>
    <row r="84">
      <c r="A84" s="6" t="inlineStr">
        <is>
          <t>BASE Case</t>
        </is>
      </c>
      <c r="B84" s="11" t="n">
        <v>0.5</v>
      </c>
      <c r="C84" s="6" t="inlineStr">
        <is>
          <t>Moderate clinic success, steady spa. Most likely outcome.</t>
        </is>
      </c>
      <c r="D84" s="6" t="inlineStr"/>
      <c r="E84" s="6" t="inlineStr"/>
    </row>
    <row r="85">
      <c r="A85" s="6" t="inlineStr">
        <is>
          <t>BULL Case</t>
        </is>
      </c>
      <c r="B85" s="11" t="n">
        <v>0.25</v>
      </c>
      <c r="C85" s="6" t="inlineStr">
        <is>
          <t>Strong clinic uptake, spa upsell, word-of-mouth. Best case.</t>
        </is>
      </c>
      <c r="D85" s="6" t="inlineStr"/>
      <c r="E85" s="6" t="inlineStr"/>
    </row>
    <row r="86">
      <c r="A86" s="12" t="inlineStr">
        <is>
          <t>TOTAL</t>
        </is>
      </c>
      <c r="B86" s="13" t="n">
        <v>1</v>
      </c>
      <c r="C86" s="12" t="inlineStr">
        <is>
          <t>Must sum to 100%</t>
        </is>
      </c>
      <c r="D86" s="12" t="inlineStr"/>
      <c r="E86" s="12" t="inlineStr"/>
    </row>
    <row r="88" ht="25" customHeight="1">
      <c r="A88" s="3" t="inlineStr">
        <is>
          <t>CLINIC STAFFING RAMP (Revenue-Triggered)</t>
        </is>
      </c>
    </row>
    <row r="89">
      <c r="A89" s="5" t="inlineStr">
        <is>
          <t>Revenue Tier</t>
        </is>
      </c>
      <c r="B89" s="5" t="inlineStr">
        <is>
          <t>Therapists</t>
        </is>
      </c>
      <c r="C89" s="5" t="inlineStr">
        <is>
          <t>Nurses</t>
        </is>
      </c>
      <c r="D89" s="5" t="inlineStr">
        <is>
          <t>Monthly Payroll Add</t>
        </is>
      </c>
      <c r="E89" s="5" t="inlineStr">
        <is>
          <t>Trigger</t>
        </is>
      </c>
    </row>
    <row r="90">
      <c r="A90" s="6" t="inlineStr">
        <is>
          <t>Clinic Revenue &lt;= EUR 25K/month</t>
        </is>
      </c>
      <c r="B90" s="10" t="n">
        <v>1</v>
      </c>
      <c r="C90" s="10" t="n">
        <v>1</v>
      </c>
      <c r="D90" s="10" t="n">
        <v>9000</v>
      </c>
      <c r="E90" s="6" t="inlineStr">
        <is>
          <t>Base staffing</t>
        </is>
      </c>
    </row>
    <row r="91">
      <c r="A91" s="6" t="inlineStr">
        <is>
          <t>Clinic Revenue EUR 25K-45K/month</t>
        </is>
      </c>
      <c r="B91" s="10" t="n">
        <v>1.5</v>
      </c>
      <c r="C91" s="10" t="n">
        <v>1</v>
      </c>
      <c r="D91" s="10" t="n">
        <v>10750</v>
      </c>
      <c r="E91" s="6" t="inlineStr">
        <is>
          <t>+0.5 therapist (EUR 1,750/mo)</t>
        </is>
      </c>
    </row>
    <row r="92">
      <c r="A92" s="6" t="inlineStr">
        <is>
          <t>Clinic Revenue &gt; EUR 45K/month</t>
        </is>
      </c>
      <c r="B92" s="10" t="n">
        <v>2</v>
      </c>
      <c r="C92" s="10" t="n">
        <v>1</v>
      </c>
      <c r="D92" s="10" t="n">
        <v>12500</v>
      </c>
      <c r="E92" s="6" t="inlineStr">
        <is>
          <t>+1 full therapist (EUR 3,500/mo)</t>
        </is>
      </c>
    </row>
    <row r="94" ht="25" customHeight="1">
      <c r="A94" s="3" t="inlineStr">
        <is>
          <t>POST-ACQUISITION CLIENT DYNAMICS</t>
        </is>
      </c>
    </row>
    <row r="95">
      <c r="A95" s="5" t="inlineStr">
        <is>
          <t>Parameter</t>
        </is>
      </c>
      <c r="B95" s="5" t="inlineStr">
        <is>
          <t>Value</t>
        </is>
      </c>
      <c r="C95" s="5" t="inlineStr">
        <is>
          <t>Notes</t>
        </is>
      </c>
      <c r="D95" s="5" t="inlineStr"/>
      <c r="E95" s="5" t="inlineStr"/>
    </row>
    <row r="96">
      <c r="A96" s="6" t="inlineStr">
        <is>
          <t>Year 1 Client Attrition</t>
        </is>
      </c>
      <c r="B96" s="11" t="n">
        <v>0.2</v>
      </c>
      <c r="C96" s="6" t="inlineStr">
        <is>
          <t>20% of existing spa clients leave post-acquisition</t>
        </is>
      </c>
      <c r="D96" s="6" t="inlineStr"/>
      <c r="E96" s="6" t="inlineStr"/>
    </row>
    <row r="97">
      <c r="A97" s="6" t="inlineStr">
        <is>
          <t>New Client Acquisition Rate</t>
        </is>
      </c>
      <c r="B97" s="11" t="n">
        <v>0.1</v>
      </c>
      <c r="C97" s="6" t="inlineStr">
        <is>
          <t>10% new clients from marketing (partially offsets attrition)</t>
        </is>
      </c>
      <c r="D97" s="6" t="inlineStr"/>
      <c r="E97" s="6" t="inlineStr"/>
    </row>
    <row r="98">
      <c r="A98" s="6" t="inlineStr">
        <is>
          <t>Net Year 1 Client Impact</t>
        </is>
      </c>
      <c r="B98" s="11" t="n">
        <v>-0.1</v>
      </c>
      <c r="C98" s="6" t="inlineStr">
        <is>
          <t>Net loss of 10% of client base in Year 1</t>
        </is>
      </c>
      <c r="D98" s="6" t="inlineStr"/>
      <c r="E98" s="6" t="inlineStr"/>
    </row>
    <row r="99">
      <c r="A99" s="6" t="inlineStr">
        <is>
          <t>Year 2+ Retention Rate</t>
        </is>
      </c>
      <c r="B99" s="11" t="n">
        <v>0.85</v>
      </c>
      <c r="C99" s="6" t="inlineStr">
        <is>
          <t>85% annual retention (15% natural churn)</t>
        </is>
      </c>
      <c r="D99" s="6" t="inlineStr"/>
      <c r="E99" s="6" t="inlineStr"/>
    </row>
    <row r="100">
      <c r="A100" s="6" t="inlineStr">
        <is>
          <t>Clinic Cross-Sell Rate</t>
        </is>
      </c>
      <c r="B100" s="11" t="n">
        <v>0.15</v>
      </c>
      <c r="C100" s="6" t="inlineStr">
        <is>
          <t>15% of spa clients try clinic services</t>
        </is>
      </c>
      <c r="D100" s="6" t="inlineStr"/>
      <c r="E100" s="6" t="inlineStr"/>
    </row>
  </sheetData>
  <mergeCells count="16">
    <mergeCell ref="A21:E21"/>
    <mergeCell ref="A12:E12"/>
    <mergeCell ref="A4:E4"/>
    <mergeCell ref="A43:E43"/>
    <mergeCell ref="A81:E81"/>
    <mergeCell ref="A2:E2"/>
    <mergeCell ref="A72:E72"/>
    <mergeCell ref="A60:E60"/>
    <mergeCell ref="A41:E41"/>
    <mergeCell ref="A19:E19"/>
    <mergeCell ref="A51:E51"/>
    <mergeCell ref="A1:E1"/>
    <mergeCell ref="A94:E94"/>
    <mergeCell ref="A36:E36"/>
    <mergeCell ref="A88:E88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B050"/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5" customHeight="1">
      <c r="A1" s="1" t="inlineStr">
        <is>
          <t>MONTHLY P&amp;L - YEAR 1 (Clinic Starts Month 3)</t>
        </is>
      </c>
    </row>
    <row r="2">
      <c r="A2" s="17" t="inlineStr">
        <is>
          <t>PURPOSE: Shows month-by-month ramp including spa transition attrition and clinic launch timeline. Replaces flat annual Year 1 from v1.0.</t>
        </is>
      </c>
    </row>
    <row r="4" ht="25" customHeight="1">
      <c r="A4" s="18" t="inlineStr">
        <is>
          <t>BEAR CASE: Spa EUR 25K + Clinic EUR 20K target</t>
        </is>
      </c>
    </row>
    <row r="5">
      <c r="A5" s="5" t="inlineStr">
        <is>
          <t>Line Item</t>
        </is>
      </c>
      <c r="B5" s="5" t="inlineStr">
        <is>
          <t>Month 1</t>
        </is>
      </c>
      <c r="C5" s="5" t="inlineStr">
        <is>
          <t>Month 2</t>
        </is>
      </c>
      <c r="D5" s="5" t="inlineStr">
        <is>
          <t>Month 3</t>
        </is>
      </c>
      <c r="E5" s="5" t="inlineStr">
        <is>
          <t>Month 4</t>
        </is>
      </c>
      <c r="F5" s="5" t="inlineStr">
        <is>
          <t>Month 5</t>
        </is>
      </c>
      <c r="G5" s="5" t="inlineStr">
        <is>
          <t>Month 6</t>
        </is>
      </c>
      <c r="H5" s="5" t="inlineStr">
        <is>
          <t>Month 7</t>
        </is>
      </c>
      <c r="I5" s="5" t="inlineStr">
        <is>
          <t>Month 8</t>
        </is>
      </c>
      <c r="J5" s="5" t="inlineStr">
        <is>
          <t>Month 9</t>
        </is>
      </c>
      <c r="K5" s="5" t="inlineStr">
        <is>
          <t>Month 10</t>
        </is>
      </c>
      <c r="L5" s="5" t="inlineStr">
        <is>
          <t>Month 11</t>
        </is>
      </c>
      <c r="M5" s="5" t="inlineStr">
        <is>
          <t>Month 12</t>
        </is>
      </c>
      <c r="N5" s="5" t="inlineStr">
        <is>
          <t>Year 1 Total</t>
        </is>
      </c>
    </row>
    <row r="6">
      <c r="A6" s="19" t="inlineStr">
        <is>
          <t>Spa Ramp %</t>
        </is>
      </c>
      <c r="B6" s="20" t="n">
        <v>0.7</v>
      </c>
      <c r="C6" s="20" t="n">
        <v>0.8</v>
      </c>
      <c r="D6" s="20" t="n">
        <v>0.9</v>
      </c>
      <c r="E6" s="20" t="n">
        <v>0.95</v>
      </c>
      <c r="F6" s="20" t="n">
        <v>0.95</v>
      </c>
      <c r="G6" s="20" t="n">
        <v>0.95</v>
      </c>
      <c r="H6" s="20" t="n">
        <v>1</v>
      </c>
      <c r="I6" s="20" t="n">
        <v>1</v>
      </c>
      <c r="J6" s="20" t="n">
        <v>1</v>
      </c>
      <c r="K6" s="20" t="n">
        <v>1</v>
      </c>
      <c r="L6" s="20" t="n">
        <v>1</v>
      </c>
      <c r="M6" s="20" t="n">
        <v>1</v>
      </c>
      <c r="N6" s="19" t="inlineStr"/>
    </row>
    <row r="7">
      <c r="A7" s="19" t="inlineStr">
        <is>
          <t>Clinic Ramp %</t>
        </is>
      </c>
      <c r="B7" s="20" t="n">
        <v>0</v>
      </c>
      <c r="C7" s="20" t="n">
        <v>0</v>
      </c>
      <c r="D7" s="20" t="n">
        <v>0.3</v>
      </c>
      <c r="E7" s="20" t="n">
        <v>0.5</v>
      </c>
      <c r="F7" s="20" t="n">
        <v>0.65</v>
      </c>
      <c r="G7" s="20" t="n">
        <v>0.8</v>
      </c>
      <c r="H7" s="20" t="n">
        <v>0.9</v>
      </c>
      <c r="I7" s="20" t="n">
        <v>0.9</v>
      </c>
      <c r="J7" s="20" t="n">
        <v>0.9</v>
      </c>
      <c r="K7" s="20" t="n">
        <v>1</v>
      </c>
      <c r="L7" s="20" t="n">
        <v>1</v>
      </c>
      <c r="M7" s="20" t="n">
        <v>1</v>
      </c>
      <c r="N7" s="19" t="inlineStr"/>
    </row>
    <row r="8">
      <c r="A8" s="6" t="inlineStr">
        <is>
          <t>Spa Revenue</t>
        </is>
      </c>
      <c r="B8" s="10" t="n">
        <v>17500</v>
      </c>
      <c r="C8" s="10" t="n">
        <v>20000</v>
      </c>
      <c r="D8" s="10" t="n">
        <v>22500</v>
      </c>
      <c r="E8" s="10" t="n">
        <v>23750</v>
      </c>
      <c r="F8" s="10" t="n">
        <v>23750</v>
      </c>
      <c r="G8" s="10" t="n">
        <v>23750</v>
      </c>
      <c r="H8" s="10" t="n">
        <v>25000</v>
      </c>
      <c r="I8" s="10" t="n">
        <v>25000</v>
      </c>
      <c r="J8" s="10" t="n">
        <v>25000</v>
      </c>
      <c r="K8" s="10" t="n">
        <v>25000</v>
      </c>
      <c r="L8" s="10" t="n">
        <v>25000</v>
      </c>
      <c r="M8" s="10" t="n">
        <v>25000</v>
      </c>
      <c r="N8" s="10" t="n">
        <v>281250</v>
      </c>
    </row>
    <row r="9">
      <c r="A9" s="6" t="inlineStr">
        <is>
          <t>Clinic Revenue</t>
        </is>
      </c>
      <c r="B9" s="10" t="n">
        <v>0</v>
      </c>
      <c r="C9" s="10" t="n">
        <v>0</v>
      </c>
      <c r="D9" s="10" t="n">
        <v>6000</v>
      </c>
      <c r="E9" s="10" t="n">
        <v>10000</v>
      </c>
      <c r="F9" s="10" t="n">
        <v>13000</v>
      </c>
      <c r="G9" s="10" t="n">
        <v>16000</v>
      </c>
      <c r="H9" s="10" t="n">
        <v>18000</v>
      </c>
      <c r="I9" s="10" t="n">
        <v>18000</v>
      </c>
      <c r="J9" s="10" t="n">
        <v>18000</v>
      </c>
      <c r="K9" s="10" t="n">
        <v>20000</v>
      </c>
      <c r="L9" s="10" t="n">
        <v>20000</v>
      </c>
      <c r="M9" s="10" t="n">
        <v>20000</v>
      </c>
      <c r="N9" s="10" t="n">
        <v>159000</v>
      </c>
    </row>
    <row r="10">
      <c r="A10" s="21" t="inlineStr">
        <is>
          <t>TOTAL REVENUE</t>
        </is>
      </c>
      <c r="B10" s="22" t="n">
        <v>17500</v>
      </c>
      <c r="C10" s="22" t="n">
        <v>20000</v>
      </c>
      <c r="D10" s="22" t="n">
        <v>28500</v>
      </c>
      <c r="E10" s="22" t="n">
        <v>33750</v>
      </c>
      <c r="F10" s="22" t="n">
        <v>36750</v>
      </c>
      <c r="G10" s="22" t="n">
        <v>39750</v>
      </c>
      <c r="H10" s="22" t="n">
        <v>43000</v>
      </c>
      <c r="I10" s="22" t="n">
        <v>43000</v>
      </c>
      <c r="J10" s="22" t="n">
        <v>43000</v>
      </c>
      <c r="K10" s="22" t="n">
        <v>45000</v>
      </c>
      <c r="L10" s="22" t="n">
        <v>45000</v>
      </c>
      <c r="M10" s="22" t="n">
        <v>45000</v>
      </c>
      <c r="N10" s="22" t="n">
        <v>440250</v>
      </c>
    </row>
    <row r="11">
      <c r="A11" s="6" t="inlineStr">
        <is>
          <t>COGS</t>
        </is>
      </c>
      <c r="B11" s="10" t="n">
        <v>1750</v>
      </c>
      <c r="C11" s="10" t="n">
        <v>2000</v>
      </c>
      <c r="D11" s="10" t="n">
        <v>3840</v>
      </c>
      <c r="E11" s="10" t="n">
        <v>5025</v>
      </c>
      <c r="F11" s="10" t="n">
        <v>5820</v>
      </c>
      <c r="G11" s="10" t="n">
        <v>6615</v>
      </c>
      <c r="H11" s="10" t="n">
        <v>7270</v>
      </c>
      <c r="I11" s="10" t="n">
        <v>7270</v>
      </c>
      <c r="J11" s="10" t="n">
        <v>7270</v>
      </c>
      <c r="K11" s="10" t="n">
        <v>7800</v>
      </c>
      <c r="L11" s="10" t="n">
        <v>7800</v>
      </c>
      <c r="M11" s="10" t="n">
        <v>7800</v>
      </c>
      <c r="N11" s="10" t="n">
        <v>70260</v>
      </c>
    </row>
    <row r="12">
      <c r="A12" s="23" t="inlineStr">
        <is>
          <t>GROSS PROFIT</t>
        </is>
      </c>
      <c r="B12" s="24" t="n">
        <v>15750</v>
      </c>
      <c r="C12" s="24" t="n">
        <v>18000</v>
      </c>
      <c r="D12" s="24" t="n">
        <v>24660</v>
      </c>
      <c r="E12" s="24" t="n">
        <v>28725</v>
      </c>
      <c r="F12" s="24" t="n">
        <v>30930</v>
      </c>
      <c r="G12" s="24" t="n">
        <v>33135</v>
      </c>
      <c r="H12" s="24" t="n">
        <v>35730</v>
      </c>
      <c r="I12" s="24" t="n">
        <v>35730</v>
      </c>
      <c r="J12" s="24" t="n">
        <v>35730</v>
      </c>
      <c r="K12" s="24" t="n">
        <v>37200</v>
      </c>
      <c r="L12" s="24" t="n">
        <v>37200</v>
      </c>
      <c r="M12" s="24" t="n">
        <v>37200</v>
      </c>
      <c r="N12" s="24" t="n">
        <v>369990</v>
      </c>
    </row>
    <row r="13">
      <c r="A13" s="6" t="inlineStr">
        <is>
          <t>Payroll</t>
        </is>
      </c>
      <c r="B13" s="10" t="n">
        <v>13900</v>
      </c>
      <c r="C13" s="10" t="n">
        <v>13900</v>
      </c>
      <c r="D13" s="10" t="n">
        <v>22900</v>
      </c>
      <c r="E13" s="10" t="n">
        <v>22900</v>
      </c>
      <c r="F13" s="10" t="n">
        <v>22900</v>
      </c>
      <c r="G13" s="10" t="n">
        <v>22900</v>
      </c>
      <c r="H13" s="10" t="n">
        <v>22900</v>
      </c>
      <c r="I13" s="10" t="n">
        <v>22900</v>
      </c>
      <c r="J13" s="10" t="n">
        <v>22900</v>
      </c>
      <c r="K13" s="10" t="n">
        <v>22900</v>
      </c>
      <c r="L13" s="10" t="n">
        <v>22900</v>
      </c>
      <c r="M13" s="10" t="n">
        <v>22900</v>
      </c>
      <c r="N13" s="10" t="n">
        <v>256800</v>
      </c>
    </row>
    <row r="14">
      <c r="A14" s="6" t="inlineStr">
        <is>
          <t>Fixed OpEx</t>
        </is>
      </c>
      <c r="B14" s="10" t="n">
        <v>7060</v>
      </c>
      <c r="C14" s="10" t="n">
        <v>7060</v>
      </c>
      <c r="D14" s="10" t="n">
        <v>7060</v>
      </c>
      <c r="E14" s="10" t="n">
        <v>7060</v>
      </c>
      <c r="F14" s="10" t="n">
        <v>7060</v>
      </c>
      <c r="G14" s="10" t="n">
        <v>7060</v>
      </c>
      <c r="H14" s="10" t="n">
        <v>7060</v>
      </c>
      <c r="I14" s="10" t="n">
        <v>7060</v>
      </c>
      <c r="J14" s="10" t="n">
        <v>7060</v>
      </c>
      <c r="K14" s="10" t="n">
        <v>7060</v>
      </c>
      <c r="L14" s="10" t="n">
        <v>7060</v>
      </c>
      <c r="M14" s="10" t="n">
        <v>7060</v>
      </c>
      <c r="N14" s="10" t="n">
        <v>84720</v>
      </c>
    </row>
    <row r="15">
      <c r="A15" s="6" t="inlineStr">
        <is>
          <t>Marketing (8% Rev)</t>
        </is>
      </c>
      <c r="B15" s="10" t="n">
        <v>1400</v>
      </c>
      <c r="C15" s="10" t="n">
        <v>1600</v>
      </c>
      <c r="D15" s="10" t="n">
        <v>2280</v>
      </c>
      <c r="E15" s="10" t="n">
        <v>2700</v>
      </c>
      <c r="F15" s="10" t="n">
        <v>2940</v>
      </c>
      <c r="G15" s="10" t="n">
        <v>3180</v>
      </c>
      <c r="H15" s="10" t="n">
        <v>3440</v>
      </c>
      <c r="I15" s="10" t="n">
        <v>3440</v>
      </c>
      <c r="J15" s="10" t="n">
        <v>3440</v>
      </c>
      <c r="K15" s="10" t="n">
        <v>3600</v>
      </c>
      <c r="L15" s="10" t="n">
        <v>3600</v>
      </c>
      <c r="M15" s="10" t="n">
        <v>3600</v>
      </c>
      <c r="N15" s="10" t="n">
        <v>35220</v>
      </c>
    </row>
    <row r="16">
      <c r="A16" s="25" t="inlineStr">
        <is>
          <t>EBITDA</t>
        </is>
      </c>
      <c r="B16" s="26" t="n">
        <v>-6610</v>
      </c>
      <c r="C16" s="26" t="n">
        <v>-4560</v>
      </c>
      <c r="D16" s="26" t="n">
        <v>-7580</v>
      </c>
      <c r="E16" s="26" t="n">
        <v>-3935</v>
      </c>
      <c r="F16" s="26" t="n">
        <v>-1970</v>
      </c>
      <c r="G16" s="26" t="n">
        <v>-5</v>
      </c>
      <c r="H16" s="26" t="n">
        <v>2330</v>
      </c>
      <c r="I16" s="26" t="n">
        <v>2330</v>
      </c>
      <c r="J16" s="26" t="n">
        <v>2330</v>
      </c>
      <c r="K16" s="26" t="n">
        <v>3640</v>
      </c>
      <c r="L16" s="26" t="n">
        <v>3640</v>
      </c>
      <c r="M16" s="26" t="n">
        <v>3640</v>
      </c>
      <c r="N16" s="26" t="n">
        <v>-6750</v>
      </c>
    </row>
    <row r="17">
      <c r="A17" s="6" t="inlineStr">
        <is>
          <t>EBITDA Margin %</t>
        </is>
      </c>
      <c r="B17" s="11" t="n">
        <v>-0.3777142857142857</v>
      </c>
      <c r="C17" s="11" t="n">
        <v>-0.228</v>
      </c>
      <c r="D17" s="11" t="n">
        <v>-0.2659649122807017</v>
      </c>
      <c r="E17" s="11" t="n">
        <v>-0.1165925925925926</v>
      </c>
      <c r="F17" s="11" t="n">
        <v>-0.05360544217687075</v>
      </c>
      <c r="G17" s="11" t="n">
        <v>-0.0001257861635220126</v>
      </c>
      <c r="H17" s="11" t="n">
        <v>0.05418604651162791</v>
      </c>
      <c r="I17" s="11" t="n">
        <v>0.05418604651162791</v>
      </c>
      <c r="J17" s="11" t="n">
        <v>0.05418604651162791</v>
      </c>
      <c r="K17" s="11" t="n">
        <v>0.08088888888888889</v>
      </c>
      <c r="L17" s="11" t="n">
        <v>0.08088888888888889</v>
      </c>
      <c r="M17" s="11" t="n">
        <v>0.08088888888888889</v>
      </c>
      <c r="N17" s="11" t="n">
        <v>-0.01533219761499148</v>
      </c>
    </row>
    <row r="18">
      <c r="A18" s="6" t="inlineStr">
        <is>
          <t>Cumulative Cash Flow</t>
        </is>
      </c>
      <c r="B18" s="10" t="n">
        <v>-506610</v>
      </c>
      <c r="C18" s="10" t="n">
        <v>-511170</v>
      </c>
      <c r="D18" s="10" t="n">
        <v>-518750</v>
      </c>
      <c r="E18" s="10" t="n">
        <v>-522685</v>
      </c>
      <c r="F18" s="10" t="n">
        <v>-524655</v>
      </c>
      <c r="G18" s="10" t="n">
        <v>-524660</v>
      </c>
      <c r="H18" s="10" t="n">
        <v>-522330</v>
      </c>
      <c r="I18" s="10" t="n">
        <v>-520000</v>
      </c>
      <c r="J18" s="10" t="n">
        <v>-517670</v>
      </c>
      <c r="K18" s="10" t="n">
        <v>-514030</v>
      </c>
      <c r="L18" s="10" t="n">
        <v>-510390</v>
      </c>
      <c r="M18" s="10" t="n">
        <v>-506750</v>
      </c>
      <c r="N18" s="10" t="n">
        <v>-506750</v>
      </c>
    </row>
    <row r="20" ht="25" customHeight="1">
      <c r="A20" s="18" t="inlineStr">
        <is>
          <t>BASE CASE: Spa EUR 30K + Clinic EUR 30K target</t>
        </is>
      </c>
    </row>
    <row r="21">
      <c r="A21" s="5" t="inlineStr">
        <is>
          <t>Line Item</t>
        </is>
      </c>
      <c r="B21" s="5" t="inlineStr">
        <is>
          <t>Month 1</t>
        </is>
      </c>
      <c r="C21" s="5" t="inlineStr">
        <is>
          <t>Month 2</t>
        </is>
      </c>
      <c r="D21" s="5" t="inlineStr">
        <is>
          <t>Month 3</t>
        </is>
      </c>
      <c r="E21" s="5" t="inlineStr">
        <is>
          <t>Month 4</t>
        </is>
      </c>
      <c r="F21" s="5" t="inlineStr">
        <is>
          <t>Month 5</t>
        </is>
      </c>
      <c r="G21" s="5" t="inlineStr">
        <is>
          <t>Month 6</t>
        </is>
      </c>
      <c r="H21" s="5" t="inlineStr">
        <is>
          <t>Month 7</t>
        </is>
      </c>
      <c r="I21" s="5" t="inlineStr">
        <is>
          <t>Month 8</t>
        </is>
      </c>
      <c r="J21" s="5" t="inlineStr">
        <is>
          <t>Month 9</t>
        </is>
      </c>
      <c r="K21" s="5" t="inlineStr">
        <is>
          <t>Month 10</t>
        </is>
      </c>
      <c r="L21" s="5" t="inlineStr">
        <is>
          <t>Month 11</t>
        </is>
      </c>
      <c r="M21" s="5" t="inlineStr">
        <is>
          <t>Month 12</t>
        </is>
      </c>
      <c r="N21" s="5" t="inlineStr">
        <is>
          <t>Year 1 Total</t>
        </is>
      </c>
    </row>
    <row r="22">
      <c r="A22" s="19" t="inlineStr">
        <is>
          <t>Spa Ramp %</t>
        </is>
      </c>
      <c r="B22" s="20" t="n">
        <v>0.7</v>
      </c>
      <c r="C22" s="20" t="n">
        <v>0.8</v>
      </c>
      <c r="D22" s="20" t="n">
        <v>0.9</v>
      </c>
      <c r="E22" s="20" t="n">
        <v>0.95</v>
      </c>
      <c r="F22" s="20" t="n">
        <v>0.95</v>
      </c>
      <c r="G22" s="20" t="n">
        <v>0.95</v>
      </c>
      <c r="H22" s="20" t="n">
        <v>1</v>
      </c>
      <c r="I22" s="20" t="n">
        <v>1</v>
      </c>
      <c r="J22" s="20" t="n">
        <v>1</v>
      </c>
      <c r="K22" s="20" t="n">
        <v>1</v>
      </c>
      <c r="L22" s="20" t="n">
        <v>1</v>
      </c>
      <c r="M22" s="20" t="n">
        <v>1</v>
      </c>
      <c r="N22" s="19" t="inlineStr"/>
    </row>
    <row r="23">
      <c r="A23" s="19" t="inlineStr">
        <is>
          <t>Clinic Ramp %</t>
        </is>
      </c>
      <c r="B23" s="20" t="n">
        <v>0</v>
      </c>
      <c r="C23" s="20" t="n">
        <v>0</v>
      </c>
      <c r="D23" s="20" t="n">
        <v>0.3</v>
      </c>
      <c r="E23" s="20" t="n">
        <v>0.5</v>
      </c>
      <c r="F23" s="20" t="n">
        <v>0.65</v>
      </c>
      <c r="G23" s="20" t="n">
        <v>0.8</v>
      </c>
      <c r="H23" s="20" t="n">
        <v>0.9</v>
      </c>
      <c r="I23" s="20" t="n">
        <v>0.9</v>
      </c>
      <c r="J23" s="20" t="n">
        <v>0.9</v>
      </c>
      <c r="K23" s="20" t="n">
        <v>1</v>
      </c>
      <c r="L23" s="20" t="n">
        <v>1</v>
      </c>
      <c r="M23" s="20" t="n">
        <v>1</v>
      </c>
      <c r="N23" s="19" t="inlineStr"/>
    </row>
    <row r="24">
      <c r="A24" s="6" t="inlineStr">
        <is>
          <t>Spa Revenue</t>
        </is>
      </c>
      <c r="B24" s="10" t="n">
        <v>21000</v>
      </c>
      <c r="C24" s="10" t="n">
        <v>24000</v>
      </c>
      <c r="D24" s="10" t="n">
        <v>27000</v>
      </c>
      <c r="E24" s="10" t="n">
        <v>28500</v>
      </c>
      <c r="F24" s="10" t="n">
        <v>28500</v>
      </c>
      <c r="G24" s="10" t="n">
        <v>28500</v>
      </c>
      <c r="H24" s="10" t="n">
        <v>30000</v>
      </c>
      <c r="I24" s="10" t="n">
        <v>30000</v>
      </c>
      <c r="J24" s="10" t="n">
        <v>30000</v>
      </c>
      <c r="K24" s="10" t="n">
        <v>30000</v>
      </c>
      <c r="L24" s="10" t="n">
        <v>30000</v>
      </c>
      <c r="M24" s="10" t="n">
        <v>30000</v>
      </c>
      <c r="N24" s="10" t="n">
        <v>337500</v>
      </c>
    </row>
    <row r="25">
      <c r="A25" s="6" t="inlineStr">
        <is>
          <t>Clinic Revenue</t>
        </is>
      </c>
      <c r="B25" s="10" t="n">
        <v>0</v>
      </c>
      <c r="C25" s="10" t="n">
        <v>0</v>
      </c>
      <c r="D25" s="10" t="n">
        <v>9000</v>
      </c>
      <c r="E25" s="10" t="n">
        <v>15000</v>
      </c>
      <c r="F25" s="10" t="n">
        <v>19500</v>
      </c>
      <c r="G25" s="10" t="n">
        <v>24000</v>
      </c>
      <c r="H25" s="10" t="n">
        <v>27000</v>
      </c>
      <c r="I25" s="10" t="n">
        <v>27000</v>
      </c>
      <c r="J25" s="10" t="n">
        <v>27000</v>
      </c>
      <c r="K25" s="10" t="n">
        <v>30000</v>
      </c>
      <c r="L25" s="10" t="n">
        <v>30000</v>
      </c>
      <c r="M25" s="10" t="n">
        <v>30000</v>
      </c>
      <c r="N25" s="10" t="n">
        <v>238500</v>
      </c>
    </row>
    <row r="26">
      <c r="A26" s="21" t="inlineStr">
        <is>
          <t>TOTAL REVENUE</t>
        </is>
      </c>
      <c r="B26" s="22" t="n">
        <v>21000</v>
      </c>
      <c r="C26" s="22" t="n">
        <v>24000</v>
      </c>
      <c r="D26" s="22" t="n">
        <v>36000</v>
      </c>
      <c r="E26" s="22" t="n">
        <v>43500</v>
      </c>
      <c r="F26" s="22" t="n">
        <v>48000</v>
      </c>
      <c r="G26" s="22" t="n">
        <v>52500</v>
      </c>
      <c r="H26" s="22" t="n">
        <v>57000</v>
      </c>
      <c r="I26" s="22" t="n">
        <v>57000</v>
      </c>
      <c r="J26" s="22" t="n">
        <v>57000</v>
      </c>
      <c r="K26" s="22" t="n">
        <v>60000</v>
      </c>
      <c r="L26" s="22" t="n">
        <v>60000</v>
      </c>
      <c r="M26" s="22" t="n">
        <v>60000</v>
      </c>
      <c r="N26" s="22" t="n">
        <v>576000</v>
      </c>
    </row>
    <row r="27">
      <c r="A27" s="6" t="inlineStr">
        <is>
          <t>COGS</t>
        </is>
      </c>
      <c r="B27" s="10" t="n">
        <v>2100</v>
      </c>
      <c r="C27" s="10" t="n">
        <v>2400</v>
      </c>
      <c r="D27" s="10" t="n">
        <v>5085</v>
      </c>
      <c r="E27" s="10" t="n">
        <v>6825</v>
      </c>
      <c r="F27" s="10" t="n">
        <v>8018</v>
      </c>
      <c r="G27" s="10" t="n">
        <v>9210</v>
      </c>
      <c r="H27" s="10" t="n">
        <v>10155</v>
      </c>
      <c r="I27" s="10" t="n">
        <v>10155</v>
      </c>
      <c r="J27" s="10" t="n">
        <v>10155</v>
      </c>
      <c r="K27" s="10" t="n">
        <v>10950</v>
      </c>
      <c r="L27" s="10" t="n">
        <v>10950</v>
      </c>
      <c r="M27" s="10" t="n">
        <v>10950</v>
      </c>
      <c r="N27" s="10" t="n">
        <v>96953</v>
      </c>
    </row>
    <row r="28">
      <c r="A28" s="23" t="inlineStr">
        <is>
          <t>GROSS PROFIT</t>
        </is>
      </c>
      <c r="B28" s="24" t="n">
        <v>18900</v>
      </c>
      <c r="C28" s="24" t="n">
        <v>21600</v>
      </c>
      <c r="D28" s="24" t="n">
        <v>30915</v>
      </c>
      <c r="E28" s="24" t="n">
        <v>36675</v>
      </c>
      <c r="F28" s="24" t="n">
        <v>39982</v>
      </c>
      <c r="G28" s="24" t="n">
        <v>43290</v>
      </c>
      <c r="H28" s="24" t="n">
        <v>46845</v>
      </c>
      <c r="I28" s="24" t="n">
        <v>46845</v>
      </c>
      <c r="J28" s="24" t="n">
        <v>46845</v>
      </c>
      <c r="K28" s="24" t="n">
        <v>49050</v>
      </c>
      <c r="L28" s="24" t="n">
        <v>49050</v>
      </c>
      <c r="M28" s="24" t="n">
        <v>49050</v>
      </c>
      <c r="N28" s="24" t="n">
        <v>479047</v>
      </c>
    </row>
    <row r="29">
      <c r="A29" s="6" t="inlineStr">
        <is>
          <t>Payroll</t>
        </is>
      </c>
      <c r="B29" s="10" t="n">
        <v>13900</v>
      </c>
      <c r="C29" s="10" t="n">
        <v>13900</v>
      </c>
      <c r="D29" s="10" t="n">
        <v>22900</v>
      </c>
      <c r="E29" s="10" t="n">
        <v>22900</v>
      </c>
      <c r="F29" s="10" t="n">
        <v>22900</v>
      </c>
      <c r="G29" s="10" t="n">
        <v>22900</v>
      </c>
      <c r="H29" s="10" t="n">
        <v>24650</v>
      </c>
      <c r="I29" s="10" t="n">
        <v>24650</v>
      </c>
      <c r="J29" s="10" t="n">
        <v>24650</v>
      </c>
      <c r="K29" s="10" t="n">
        <v>24650</v>
      </c>
      <c r="L29" s="10" t="n">
        <v>24650</v>
      </c>
      <c r="M29" s="10" t="n">
        <v>24650</v>
      </c>
      <c r="N29" s="10" t="n">
        <v>267300</v>
      </c>
    </row>
    <row r="30">
      <c r="A30" s="6" t="inlineStr">
        <is>
          <t>Fixed OpEx</t>
        </is>
      </c>
      <c r="B30" s="10" t="n">
        <v>7060</v>
      </c>
      <c r="C30" s="10" t="n">
        <v>7060</v>
      </c>
      <c r="D30" s="10" t="n">
        <v>7060</v>
      </c>
      <c r="E30" s="10" t="n">
        <v>7060</v>
      </c>
      <c r="F30" s="10" t="n">
        <v>7060</v>
      </c>
      <c r="G30" s="10" t="n">
        <v>7060</v>
      </c>
      <c r="H30" s="10" t="n">
        <v>7060</v>
      </c>
      <c r="I30" s="10" t="n">
        <v>7060</v>
      </c>
      <c r="J30" s="10" t="n">
        <v>7060</v>
      </c>
      <c r="K30" s="10" t="n">
        <v>7060</v>
      </c>
      <c r="L30" s="10" t="n">
        <v>7060</v>
      </c>
      <c r="M30" s="10" t="n">
        <v>7060</v>
      </c>
      <c r="N30" s="10" t="n">
        <v>84720</v>
      </c>
    </row>
    <row r="31">
      <c r="A31" s="6" t="inlineStr">
        <is>
          <t>Marketing (8% Rev)</t>
        </is>
      </c>
      <c r="B31" s="10" t="n">
        <v>1680</v>
      </c>
      <c r="C31" s="10" t="n">
        <v>1920</v>
      </c>
      <c r="D31" s="10" t="n">
        <v>2880</v>
      </c>
      <c r="E31" s="10" t="n">
        <v>3480</v>
      </c>
      <c r="F31" s="10" t="n">
        <v>3840</v>
      </c>
      <c r="G31" s="10" t="n">
        <v>4200</v>
      </c>
      <c r="H31" s="10" t="n">
        <v>4560</v>
      </c>
      <c r="I31" s="10" t="n">
        <v>4560</v>
      </c>
      <c r="J31" s="10" t="n">
        <v>4560</v>
      </c>
      <c r="K31" s="10" t="n">
        <v>4800</v>
      </c>
      <c r="L31" s="10" t="n">
        <v>4800</v>
      </c>
      <c r="M31" s="10" t="n">
        <v>4800</v>
      </c>
      <c r="N31" s="10" t="n">
        <v>46080</v>
      </c>
    </row>
    <row r="32">
      <c r="A32" s="23" t="inlineStr">
        <is>
          <t>EBITDA</t>
        </is>
      </c>
      <c r="B32" s="24" t="n">
        <v>-3740</v>
      </c>
      <c r="C32" s="24" t="n">
        <v>-1280</v>
      </c>
      <c r="D32" s="24" t="n">
        <v>-1925</v>
      </c>
      <c r="E32" s="24" t="n">
        <v>3235</v>
      </c>
      <c r="F32" s="24" t="n">
        <v>6182</v>
      </c>
      <c r="G32" s="24" t="n">
        <v>9130</v>
      </c>
      <c r="H32" s="24" t="n">
        <v>10575</v>
      </c>
      <c r="I32" s="24" t="n">
        <v>10575</v>
      </c>
      <c r="J32" s="24" t="n">
        <v>10575</v>
      </c>
      <c r="K32" s="24" t="n">
        <v>12540</v>
      </c>
      <c r="L32" s="24" t="n">
        <v>12540</v>
      </c>
      <c r="M32" s="24" t="n">
        <v>12540</v>
      </c>
      <c r="N32" s="24" t="n">
        <v>80947</v>
      </c>
    </row>
    <row r="33">
      <c r="A33" s="6" t="inlineStr">
        <is>
          <t>EBITDA Margin %</t>
        </is>
      </c>
      <c r="B33" s="11" t="n">
        <v>-0.1780952380952381</v>
      </c>
      <c r="C33" s="11" t="n">
        <v>-0.05333333333333334</v>
      </c>
      <c r="D33" s="11" t="n">
        <v>-0.05347222222222222</v>
      </c>
      <c r="E33" s="11" t="n">
        <v>0.07436781609195402</v>
      </c>
      <c r="F33" s="11" t="n">
        <v>0.1287916666666667</v>
      </c>
      <c r="G33" s="11" t="n">
        <v>0.1739047619047619</v>
      </c>
      <c r="H33" s="11" t="n">
        <v>0.1855263157894737</v>
      </c>
      <c r="I33" s="11" t="n">
        <v>0.1855263157894737</v>
      </c>
      <c r="J33" s="11" t="n">
        <v>0.1855263157894737</v>
      </c>
      <c r="K33" s="11" t="n">
        <v>0.209</v>
      </c>
      <c r="L33" s="11" t="n">
        <v>0.209</v>
      </c>
      <c r="M33" s="11" t="n">
        <v>0.209</v>
      </c>
      <c r="N33" s="11" t="n">
        <v>0.1405329861111111</v>
      </c>
    </row>
    <row r="34">
      <c r="A34" s="6" t="inlineStr">
        <is>
          <t>Cumulative Cash Flow</t>
        </is>
      </c>
      <c r="B34" s="10" t="n">
        <v>-503740</v>
      </c>
      <c r="C34" s="10" t="n">
        <v>-505020</v>
      </c>
      <c r="D34" s="10" t="n">
        <v>-506945</v>
      </c>
      <c r="E34" s="10" t="n">
        <v>-503710</v>
      </c>
      <c r="F34" s="10" t="n">
        <v>-497528</v>
      </c>
      <c r="G34" s="10" t="n">
        <v>-488398</v>
      </c>
      <c r="H34" s="10" t="n">
        <v>-477823</v>
      </c>
      <c r="I34" s="10" t="n">
        <v>-467248</v>
      </c>
      <c r="J34" s="10" t="n">
        <v>-456673</v>
      </c>
      <c r="K34" s="10" t="n">
        <v>-444133</v>
      </c>
      <c r="L34" s="10" t="n">
        <v>-431593</v>
      </c>
      <c r="M34" s="10" t="n">
        <v>-419053</v>
      </c>
      <c r="N34" s="10" t="n">
        <v>-419053</v>
      </c>
    </row>
    <row r="36" ht="25" customHeight="1">
      <c r="A36" s="18" t="inlineStr">
        <is>
          <t>BULL CASE: Spa EUR 45K + Clinic EUR 55K target</t>
        </is>
      </c>
    </row>
    <row r="37">
      <c r="A37" s="5" t="inlineStr">
        <is>
          <t>Line Item</t>
        </is>
      </c>
      <c r="B37" s="5" t="inlineStr">
        <is>
          <t>Month 1</t>
        </is>
      </c>
      <c r="C37" s="5" t="inlineStr">
        <is>
          <t>Month 2</t>
        </is>
      </c>
      <c r="D37" s="5" t="inlineStr">
        <is>
          <t>Month 3</t>
        </is>
      </c>
      <c r="E37" s="5" t="inlineStr">
        <is>
          <t>Month 4</t>
        </is>
      </c>
      <c r="F37" s="5" t="inlineStr">
        <is>
          <t>Month 5</t>
        </is>
      </c>
      <c r="G37" s="5" t="inlineStr">
        <is>
          <t>Month 6</t>
        </is>
      </c>
      <c r="H37" s="5" t="inlineStr">
        <is>
          <t>Month 7</t>
        </is>
      </c>
      <c r="I37" s="5" t="inlineStr">
        <is>
          <t>Month 8</t>
        </is>
      </c>
      <c r="J37" s="5" t="inlineStr">
        <is>
          <t>Month 9</t>
        </is>
      </c>
      <c r="K37" s="5" t="inlineStr">
        <is>
          <t>Month 10</t>
        </is>
      </c>
      <c r="L37" s="5" t="inlineStr">
        <is>
          <t>Month 11</t>
        </is>
      </c>
      <c r="M37" s="5" t="inlineStr">
        <is>
          <t>Month 12</t>
        </is>
      </c>
      <c r="N37" s="5" t="inlineStr">
        <is>
          <t>Year 1 Total</t>
        </is>
      </c>
    </row>
    <row r="38">
      <c r="A38" s="19" t="inlineStr">
        <is>
          <t>Spa Ramp %</t>
        </is>
      </c>
      <c r="B38" s="20" t="n">
        <v>0.7</v>
      </c>
      <c r="C38" s="20" t="n">
        <v>0.8</v>
      </c>
      <c r="D38" s="20" t="n">
        <v>0.9</v>
      </c>
      <c r="E38" s="20" t="n">
        <v>0.95</v>
      </c>
      <c r="F38" s="20" t="n">
        <v>0.95</v>
      </c>
      <c r="G38" s="20" t="n">
        <v>0.95</v>
      </c>
      <c r="H38" s="20" t="n">
        <v>1</v>
      </c>
      <c r="I38" s="20" t="n">
        <v>1</v>
      </c>
      <c r="J38" s="20" t="n">
        <v>1</v>
      </c>
      <c r="K38" s="20" t="n">
        <v>1</v>
      </c>
      <c r="L38" s="20" t="n">
        <v>1</v>
      </c>
      <c r="M38" s="20" t="n">
        <v>1</v>
      </c>
      <c r="N38" s="19" t="inlineStr"/>
    </row>
    <row r="39">
      <c r="A39" s="19" t="inlineStr">
        <is>
          <t>Clinic Ramp %</t>
        </is>
      </c>
      <c r="B39" s="20" t="n">
        <v>0</v>
      </c>
      <c r="C39" s="20" t="n">
        <v>0</v>
      </c>
      <c r="D39" s="20" t="n">
        <v>0.3</v>
      </c>
      <c r="E39" s="20" t="n">
        <v>0.5</v>
      </c>
      <c r="F39" s="20" t="n">
        <v>0.65</v>
      </c>
      <c r="G39" s="20" t="n">
        <v>0.8</v>
      </c>
      <c r="H39" s="20" t="n">
        <v>0.9</v>
      </c>
      <c r="I39" s="20" t="n">
        <v>0.9</v>
      </c>
      <c r="J39" s="20" t="n">
        <v>0.9</v>
      </c>
      <c r="K39" s="20" t="n">
        <v>1</v>
      </c>
      <c r="L39" s="20" t="n">
        <v>1</v>
      </c>
      <c r="M39" s="20" t="n">
        <v>1</v>
      </c>
      <c r="N39" s="19" t="inlineStr"/>
    </row>
    <row r="40">
      <c r="A40" s="6" t="inlineStr">
        <is>
          <t>Spa Revenue</t>
        </is>
      </c>
      <c r="B40" s="10" t="n">
        <v>31500</v>
      </c>
      <c r="C40" s="10" t="n">
        <v>36000</v>
      </c>
      <c r="D40" s="10" t="n">
        <v>40500</v>
      </c>
      <c r="E40" s="10" t="n">
        <v>42750</v>
      </c>
      <c r="F40" s="10" t="n">
        <v>42750</v>
      </c>
      <c r="G40" s="10" t="n">
        <v>42750</v>
      </c>
      <c r="H40" s="10" t="n">
        <v>45000</v>
      </c>
      <c r="I40" s="10" t="n">
        <v>45000</v>
      </c>
      <c r="J40" s="10" t="n">
        <v>45000</v>
      </c>
      <c r="K40" s="10" t="n">
        <v>45000</v>
      </c>
      <c r="L40" s="10" t="n">
        <v>45000</v>
      </c>
      <c r="M40" s="10" t="n">
        <v>45000</v>
      </c>
      <c r="N40" s="10" t="n">
        <v>506250</v>
      </c>
    </row>
    <row r="41">
      <c r="A41" s="6" t="inlineStr">
        <is>
          <t>Clinic Revenue</t>
        </is>
      </c>
      <c r="B41" s="10" t="n">
        <v>0</v>
      </c>
      <c r="C41" s="10" t="n">
        <v>0</v>
      </c>
      <c r="D41" s="10" t="n">
        <v>16500</v>
      </c>
      <c r="E41" s="10" t="n">
        <v>27500</v>
      </c>
      <c r="F41" s="10" t="n">
        <v>35750</v>
      </c>
      <c r="G41" s="10" t="n">
        <v>44000</v>
      </c>
      <c r="H41" s="10" t="n">
        <v>49500</v>
      </c>
      <c r="I41" s="10" t="n">
        <v>49500</v>
      </c>
      <c r="J41" s="10" t="n">
        <v>49500</v>
      </c>
      <c r="K41" s="10" t="n">
        <v>55000</v>
      </c>
      <c r="L41" s="10" t="n">
        <v>55000</v>
      </c>
      <c r="M41" s="10" t="n">
        <v>55000</v>
      </c>
      <c r="N41" s="10" t="n">
        <v>437250</v>
      </c>
    </row>
    <row r="42">
      <c r="A42" s="21" t="inlineStr">
        <is>
          <t>TOTAL REVENUE</t>
        </is>
      </c>
      <c r="B42" s="22" t="n">
        <v>31500</v>
      </c>
      <c r="C42" s="22" t="n">
        <v>36000</v>
      </c>
      <c r="D42" s="22" t="n">
        <v>57000</v>
      </c>
      <c r="E42" s="22" t="n">
        <v>70250</v>
      </c>
      <c r="F42" s="22" t="n">
        <v>78500</v>
      </c>
      <c r="G42" s="22" t="n">
        <v>86750</v>
      </c>
      <c r="H42" s="22" t="n">
        <v>94500</v>
      </c>
      <c r="I42" s="22" t="n">
        <v>94500</v>
      </c>
      <c r="J42" s="22" t="n">
        <v>94500</v>
      </c>
      <c r="K42" s="22" t="n">
        <v>100000</v>
      </c>
      <c r="L42" s="22" t="n">
        <v>100000</v>
      </c>
      <c r="M42" s="22" t="n">
        <v>100000</v>
      </c>
      <c r="N42" s="22" t="n">
        <v>943500</v>
      </c>
    </row>
    <row r="43">
      <c r="A43" s="6" t="inlineStr">
        <is>
          <t>COGS</t>
        </is>
      </c>
      <c r="B43" s="10" t="n">
        <v>3150</v>
      </c>
      <c r="C43" s="10" t="n">
        <v>3600</v>
      </c>
      <c r="D43" s="10" t="n">
        <v>8422</v>
      </c>
      <c r="E43" s="10" t="n">
        <v>11562</v>
      </c>
      <c r="F43" s="10" t="n">
        <v>13749</v>
      </c>
      <c r="G43" s="10" t="n">
        <v>15935</v>
      </c>
      <c r="H43" s="10" t="n">
        <v>17618</v>
      </c>
      <c r="I43" s="10" t="n">
        <v>17618</v>
      </c>
      <c r="J43" s="10" t="n">
        <v>17618</v>
      </c>
      <c r="K43" s="10" t="n">
        <v>19075</v>
      </c>
      <c r="L43" s="10" t="n">
        <v>19075</v>
      </c>
      <c r="M43" s="10" t="n">
        <v>19075</v>
      </c>
      <c r="N43" s="10" t="n">
        <v>166497</v>
      </c>
    </row>
    <row r="44">
      <c r="A44" s="23" t="inlineStr">
        <is>
          <t>GROSS PROFIT</t>
        </is>
      </c>
      <c r="B44" s="24" t="n">
        <v>28350</v>
      </c>
      <c r="C44" s="24" t="n">
        <v>32400</v>
      </c>
      <c r="D44" s="24" t="n">
        <v>48578</v>
      </c>
      <c r="E44" s="24" t="n">
        <v>58688</v>
      </c>
      <c r="F44" s="24" t="n">
        <v>64751</v>
      </c>
      <c r="G44" s="24" t="n">
        <v>70815</v>
      </c>
      <c r="H44" s="24" t="n">
        <v>76882</v>
      </c>
      <c r="I44" s="24" t="n">
        <v>76882</v>
      </c>
      <c r="J44" s="24" t="n">
        <v>76882</v>
      </c>
      <c r="K44" s="24" t="n">
        <v>80925</v>
      </c>
      <c r="L44" s="24" t="n">
        <v>80925</v>
      </c>
      <c r="M44" s="24" t="n">
        <v>80925</v>
      </c>
      <c r="N44" s="24" t="n">
        <v>777003</v>
      </c>
    </row>
    <row r="45">
      <c r="A45" s="6" t="inlineStr">
        <is>
          <t>Payroll</t>
        </is>
      </c>
      <c r="B45" s="10" t="n">
        <v>13900</v>
      </c>
      <c r="C45" s="10" t="n">
        <v>13900</v>
      </c>
      <c r="D45" s="10" t="n">
        <v>22900</v>
      </c>
      <c r="E45" s="10" t="n">
        <v>24650</v>
      </c>
      <c r="F45" s="10" t="n">
        <v>24650</v>
      </c>
      <c r="G45" s="10" t="n">
        <v>24650</v>
      </c>
      <c r="H45" s="10" t="n">
        <v>26400</v>
      </c>
      <c r="I45" s="10" t="n">
        <v>26400</v>
      </c>
      <c r="J45" s="10" t="n">
        <v>26400</v>
      </c>
      <c r="K45" s="10" t="n">
        <v>26400</v>
      </c>
      <c r="L45" s="10" t="n">
        <v>26400</v>
      </c>
      <c r="M45" s="10" t="n">
        <v>26400</v>
      </c>
      <c r="N45" s="10" t="n">
        <v>283050</v>
      </c>
    </row>
    <row r="46">
      <c r="A46" s="6" t="inlineStr">
        <is>
          <t>Fixed OpEx</t>
        </is>
      </c>
      <c r="B46" s="10" t="n">
        <v>7060</v>
      </c>
      <c r="C46" s="10" t="n">
        <v>7060</v>
      </c>
      <c r="D46" s="10" t="n">
        <v>7060</v>
      </c>
      <c r="E46" s="10" t="n">
        <v>7060</v>
      </c>
      <c r="F46" s="10" t="n">
        <v>7060</v>
      </c>
      <c r="G46" s="10" t="n">
        <v>7060</v>
      </c>
      <c r="H46" s="10" t="n">
        <v>7060</v>
      </c>
      <c r="I46" s="10" t="n">
        <v>7060</v>
      </c>
      <c r="J46" s="10" t="n">
        <v>7060</v>
      </c>
      <c r="K46" s="10" t="n">
        <v>7060</v>
      </c>
      <c r="L46" s="10" t="n">
        <v>7060</v>
      </c>
      <c r="M46" s="10" t="n">
        <v>7060</v>
      </c>
      <c r="N46" s="10" t="n">
        <v>84720</v>
      </c>
    </row>
    <row r="47">
      <c r="A47" s="6" t="inlineStr">
        <is>
          <t>Marketing (8% Rev)</t>
        </is>
      </c>
      <c r="B47" s="10" t="n">
        <v>2520</v>
      </c>
      <c r="C47" s="10" t="n">
        <v>2880</v>
      </c>
      <c r="D47" s="10" t="n">
        <v>4560</v>
      </c>
      <c r="E47" s="10" t="n">
        <v>5620</v>
      </c>
      <c r="F47" s="10" t="n">
        <v>6280</v>
      </c>
      <c r="G47" s="10" t="n">
        <v>6940</v>
      </c>
      <c r="H47" s="10" t="n">
        <v>7560</v>
      </c>
      <c r="I47" s="10" t="n">
        <v>7560</v>
      </c>
      <c r="J47" s="10" t="n">
        <v>7560</v>
      </c>
      <c r="K47" s="10" t="n">
        <v>8000</v>
      </c>
      <c r="L47" s="10" t="n">
        <v>8000</v>
      </c>
      <c r="M47" s="10" t="n">
        <v>8000</v>
      </c>
      <c r="N47" s="10" t="n">
        <v>75480</v>
      </c>
    </row>
    <row r="48">
      <c r="A48" s="23" t="inlineStr">
        <is>
          <t>EBITDA</t>
        </is>
      </c>
      <c r="B48" s="24" t="n">
        <v>4870</v>
      </c>
      <c r="C48" s="24" t="n">
        <v>8560</v>
      </c>
      <c r="D48" s="24" t="n">
        <v>14058</v>
      </c>
      <c r="E48" s="24" t="n">
        <v>21358</v>
      </c>
      <c r="F48" s="24" t="n">
        <v>26761</v>
      </c>
      <c r="G48" s="24" t="n">
        <v>32165</v>
      </c>
      <c r="H48" s="24" t="n">
        <v>35862</v>
      </c>
      <c r="I48" s="24" t="n">
        <v>35862</v>
      </c>
      <c r="J48" s="24" t="n">
        <v>35862</v>
      </c>
      <c r="K48" s="24" t="n">
        <v>39465</v>
      </c>
      <c r="L48" s="24" t="n">
        <v>39465</v>
      </c>
      <c r="M48" s="24" t="n">
        <v>39465</v>
      </c>
      <c r="N48" s="24" t="n">
        <v>333753</v>
      </c>
    </row>
    <row r="49">
      <c r="A49" s="6" t="inlineStr">
        <is>
          <t>EBITDA Margin %</t>
        </is>
      </c>
      <c r="B49" s="11" t="n">
        <v>0.1546031746031746</v>
      </c>
      <c r="C49" s="11" t="n">
        <v>0.2377777777777778</v>
      </c>
      <c r="D49" s="11" t="n">
        <v>0.2466315789473684</v>
      </c>
      <c r="E49" s="11" t="n">
        <v>0.3040284697508897</v>
      </c>
      <c r="F49" s="11" t="n">
        <v>0.3409044585987261</v>
      </c>
      <c r="G49" s="11" t="n">
        <v>0.3707780979827089</v>
      </c>
      <c r="H49" s="11" t="n">
        <v>0.3794920634920635</v>
      </c>
      <c r="I49" s="11" t="n">
        <v>0.3794920634920635</v>
      </c>
      <c r="J49" s="11" t="n">
        <v>0.3794920634920635</v>
      </c>
      <c r="K49" s="11" t="n">
        <v>0.39465</v>
      </c>
      <c r="L49" s="11" t="n">
        <v>0.39465</v>
      </c>
      <c r="M49" s="11" t="n">
        <v>0.39465</v>
      </c>
      <c r="N49" s="11" t="n">
        <v>0.3537392686804451</v>
      </c>
    </row>
    <row r="50">
      <c r="A50" s="6" t="inlineStr">
        <is>
          <t>Cumulative Cash Flow</t>
        </is>
      </c>
      <c r="B50" s="10" t="n">
        <v>-495130</v>
      </c>
      <c r="C50" s="10" t="n">
        <v>-486570</v>
      </c>
      <c r="D50" s="10" t="n">
        <v>-472512</v>
      </c>
      <c r="E50" s="10" t="n">
        <v>-451154</v>
      </c>
      <c r="F50" s="10" t="n">
        <v>-424393</v>
      </c>
      <c r="G50" s="10" t="n">
        <v>-392228</v>
      </c>
      <c r="H50" s="10" t="n">
        <v>-356366</v>
      </c>
      <c r="I50" s="10" t="n">
        <v>-320504</v>
      </c>
      <c r="J50" s="10" t="n">
        <v>-284642</v>
      </c>
      <c r="K50" s="10" t="n">
        <v>-245177</v>
      </c>
      <c r="L50" s="10" t="n">
        <v>-205712</v>
      </c>
      <c r="M50" s="10" t="n">
        <v>-166247</v>
      </c>
      <c r="N50" s="10" t="n">
        <v>-166247</v>
      </c>
    </row>
    <row r="52">
      <c r="A52" s="14" t="inlineStr">
        <is>
          <t>KEY INSIGHT: Months 1-2 have zero clinic revenue (setup period). Spa revenue also reduced due to ownership transition attrition (~20-30%). The cash trough occurs in Month 1-2. Working capital reserve of EUR 50-75K recommended.</t>
        </is>
      </c>
    </row>
  </sheetData>
  <mergeCells count="6">
    <mergeCell ref="A4:N4"/>
    <mergeCell ref="A20:N20"/>
    <mergeCell ref="A2:N2"/>
    <mergeCell ref="A52:N52"/>
    <mergeCell ref="A36:N36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B050"/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5" customHeight="1">
      <c r="A1" s="1" t="inlineStr">
        <is>
          <t>13-YEAR P&amp;L PIANO (Enhanced with Marketing, Split Inflation, Monthly Year 1)</t>
        </is>
      </c>
    </row>
    <row r="2">
      <c r="A2" s="17" t="inlineStr">
        <is>
          <t>PURPOSE: Full 13-year projection. Year 1 derived from Monthly P&amp;L. Years 2-13 use 5% revenue growth with category-specific cost inflation. Marketing costs now included (was zero in v1.0).</t>
        </is>
      </c>
    </row>
    <row r="4" ht="25" customHeight="1">
      <c r="A4" s="18" t="inlineStr">
        <is>
          <t>BEAR CASE (25% Probability)</t>
        </is>
      </c>
    </row>
    <row r="5">
      <c r="A5" s="5" t="inlineStr">
        <is>
          <t>Line Item</t>
        </is>
      </c>
      <c r="B5" s="5" t="inlineStr">
        <is>
          <t>Year 1</t>
        </is>
      </c>
      <c r="C5" s="5" t="inlineStr">
        <is>
          <t>Year 2</t>
        </is>
      </c>
      <c r="D5" s="5" t="inlineStr">
        <is>
          <t>Year 3</t>
        </is>
      </c>
      <c r="E5" s="5" t="inlineStr">
        <is>
          <t>Year 4</t>
        </is>
      </c>
      <c r="F5" s="5" t="inlineStr">
        <is>
          <t>Year 5</t>
        </is>
      </c>
      <c r="G5" s="5" t="inlineStr">
        <is>
          <t>Year 6</t>
        </is>
      </c>
      <c r="H5" s="5" t="inlineStr">
        <is>
          <t>Year 7</t>
        </is>
      </c>
      <c r="I5" s="5" t="inlineStr">
        <is>
          <t>Year 8</t>
        </is>
      </c>
      <c r="J5" s="5" t="inlineStr">
        <is>
          <t>Year 9</t>
        </is>
      </c>
      <c r="K5" s="5" t="inlineStr">
        <is>
          <t>Year 10</t>
        </is>
      </c>
      <c r="L5" s="5" t="inlineStr">
        <is>
          <t>Year 11</t>
        </is>
      </c>
      <c r="M5" s="5" t="inlineStr">
        <is>
          <t>Year 12</t>
        </is>
      </c>
      <c r="N5" s="5" t="inlineStr">
        <is>
          <t>Year 13</t>
        </is>
      </c>
    </row>
    <row r="6">
      <c r="A6" s="6" t="inlineStr">
        <is>
          <t>Spa Revenue</t>
        </is>
      </c>
      <c r="B6" s="10" t="n">
        <v>281250</v>
      </c>
      <c r="C6" s="10" t="n">
        <v>315000</v>
      </c>
      <c r="D6" s="10" t="n">
        <v>330750</v>
      </c>
      <c r="E6" s="10" t="n">
        <v>347288</v>
      </c>
      <c r="F6" s="10" t="n">
        <v>364652</v>
      </c>
      <c r="G6" s="10" t="n">
        <v>382884</v>
      </c>
      <c r="H6" s="10" t="n">
        <v>402029</v>
      </c>
      <c r="I6" s="10" t="n">
        <v>422130</v>
      </c>
      <c r="J6" s="10" t="n">
        <v>443237</v>
      </c>
      <c r="K6" s="10" t="n">
        <v>465398</v>
      </c>
      <c r="L6" s="10" t="n">
        <v>488668</v>
      </c>
      <c r="M6" s="10" t="n">
        <v>513102</v>
      </c>
      <c r="N6" s="10" t="n">
        <v>538757</v>
      </c>
    </row>
    <row r="7">
      <c r="A7" s="6" t="inlineStr">
        <is>
          <t>Clinic Revenue</t>
        </is>
      </c>
      <c r="B7" s="10" t="n">
        <v>159000</v>
      </c>
      <c r="C7" s="10" t="n">
        <v>252000</v>
      </c>
      <c r="D7" s="10" t="n">
        <v>264600</v>
      </c>
      <c r="E7" s="10" t="n">
        <v>277830</v>
      </c>
      <c r="F7" s="10" t="n">
        <v>291722</v>
      </c>
      <c r="G7" s="10" t="n">
        <v>306308</v>
      </c>
      <c r="H7" s="10" t="n">
        <v>321623</v>
      </c>
      <c r="I7" s="10" t="n">
        <v>337704</v>
      </c>
      <c r="J7" s="10" t="n">
        <v>354589</v>
      </c>
      <c r="K7" s="10" t="n">
        <v>372319</v>
      </c>
      <c r="L7" s="10" t="n">
        <v>390935</v>
      </c>
      <c r="M7" s="10" t="n">
        <v>410481</v>
      </c>
      <c r="N7" s="10" t="n">
        <v>431006</v>
      </c>
    </row>
    <row r="8">
      <c r="A8" s="21" t="inlineStr">
        <is>
          <t>TOTAL REVENUE</t>
        </is>
      </c>
      <c r="B8" s="22" t="n">
        <v>440250</v>
      </c>
      <c r="C8" s="22" t="n">
        <v>567000</v>
      </c>
      <c r="D8" s="22" t="n">
        <v>595350</v>
      </c>
      <c r="E8" s="22" t="n">
        <v>625118</v>
      </c>
      <c r="F8" s="22" t="n">
        <v>656373</v>
      </c>
      <c r="G8" s="22" t="n">
        <v>689192</v>
      </c>
      <c r="H8" s="22" t="n">
        <v>723652</v>
      </c>
      <c r="I8" s="22" t="n">
        <v>759834</v>
      </c>
      <c r="J8" s="22" t="n">
        <v>797826</v>
      </c>
      <c r="K8" s="22" t="n">
        <v>837717</v>
      </c>
      <c r="L8" s="22" t="n">
        <v>879603</v>
      </c>
      <c r="M8" s="22" t="n">
        <v>923583</v>
      </c>
      <c r="N8" s="22" t="n">
        <v>969762</v>
      </c>
    </row>
    <row r="9">
      <c r="A9" s="6" t="inlineStr">
        <is>
          <t>COGS</t>
        </is>
      </c>
      <c r="B9" s="10" t="n">
        <v>70260</v>
      </c>
      <c r="C9" s="10" t="n">
        <v>98280</v>
      </c>
      <c r="D9" s="10" t="n">
        <v>103194</v>
      </c>
      <c r="E9" s="10" t="n">
        <v>108354</v>
      </c>
      <c r="F9" s="10" t="n">
        <v>113771</v>
      </c>
      <c r="G9" s="10" t="n">
        <v>119460</v>
      </c>
      <c r="H9" s="10" t="n">
        <v>125433</v>
      </c>
      <c r="I9" s="10" t="n">
        <v>131705</v>
      </c>
      <c r="J9" s="10" t="n">
        <v>138290</v>
      </c>
      <c r="K9" s="10" t="n">
        <v>145204</v>
      </c>
      <c r="L9" s="10" t="n">
        <v>152465</v>
      </c>
      <c r="M9" s="10" t="n">
        <v>160088</v>
      </c>
      <c r="N9" s="10" t="n">
        <v>168092</v>
      </c>
    </row>
    <row r="10">
      <c r="A10" s="23" t="inlineStr">
        <is>
          <t>GROSS PROFIT</t>
        </is>
      </c>
      <c r="B10" s="24" t="n">
        <v>369990</v>
      </c>
      <c r="C10" s="24" t="n">
        <v>468720</v>
      </c>
      <c r="D10" s="24" t="n">
        <v>492156</v>
      </c>
      <c r="E10" s="24" t="n">
        <v>516764</v>
      </c>
      <c r="F10" s="24" t="n">
        <v>542602</v>
      </c>
      <c r="G10" s="24" t="n">
        <v>569732</v>
      </c>
      <c r="H10" s="24" t="n">
        <v>598219</v>
      </c>
      <c r="I10" s="24" t="n">
        <v>628130</v>
      </c>
      <c r="J10" s="24" t="n">
        <v>659536</v>
      </c>
      <c r="K10" s="24" t="n">
        <v>692513</v>
      </c>
      <c r="L10" s="24" t="n">
        <v>727139</v>
      </c>
      <c r="M10" s="24" t="n">
        <v>763495</v>
      </c>
      <c r="N10" s="24" t="n">
        <v>801670</v>
      </c>
    </row>
    <row r="11">
      <c r="A11" s="6" t="inlineStr">
        <is>
          <t>Gross Margin %</t>
        </is>
      </c>
      <c r="B11" s="11" t="n">
        <v>0.8404088586030665</v>
      </c>
      <c r="C11" s="11" t="n">
        <v>0.8266666666666667</v>
      </c>
      <c r="D11" s="11" t="n">
        <v>0.8266666666666667</v>
      </c>
      <c r="E11" s="11" t="n">
        <v>0.8266663253977649</v>
      </c>
      <c r="F11" s="11" t="n">
        <v>0.8266671541943377</v>
      </c>
      <c r="G11" s="11" t="n">
        <v>0.8266665892813614</v>
      </c>
      <c r="H11" s="11" t="n">
        <v>0.8266666850917291</v>
      </c>
      <c r="I11" s="11" t="n">
        <v>0.8266674036697489</v>
      </c>
      <c r="J11" s="11" t="n">
        <v>0.8266664661216857</v>
      </c>
      <c r="K11" s="11" t="n">
        <v>0.8266670009084214</v>
      </c>
      <c r="L11" s="11" t="n">
        <v>0.8266672578424584</v>
      </c>
      <c r="M11" s="11" t="n">
        <v>0.8266663634995447</v>
      </c>
      <c r="N11" s="11" t="n">
        <v>0.8266667491611344</v>
      </c>
    </row>
    <row r="12">
      <c r="A12" s="6" t="inlineStr">
        <is>
          <t>Payroll</t>
        </is>
      </c>
      <c r="B12" s="10" t="n">
        <v>256800</v>
      </c>
      <c r="C12" s="10" t="n">
        <v>284418</v>
      </c>
      <c r="D12" s="10" t="n">
        <v>294373</v>
      </c>
      <c r="E12" s="10" t="n">
        <v>304676</v>
      </c>
      <c r="F12" s="10" t="n">
        <v>315339</v>
      </c>
      <c r="G12" s="10" t="n">
        <v>326376</v>
      </c>
      <c r="H12" s="10" t="n">
        <v>337799</v>
      </c>
      <c r="I12" s="10" t="n">
        <v>349622</v>
      </c>
      <c r="J12" s="10" t="n">
        <v>361859</v>
      </c>
      <c r="K12" s="10" t="n">
        <v>374524</v>
      </c>
      <c r="L12" s="10" t="n">
        <v>387633</v>
      </c>
      <c r="M12" s="10" t="n">
        <v>401200</v>
      </c>
      <c r="N12" s="10" t="n">
        <v>415242</v>
      </c>
    </row>
    <row r="13">
      <c r="A13" s="6" t="inlineStr">
        <is>
          <t>Fixed OpEx</t>
        </is>
      </c>
      <c r="B13" s="10" t="n">
        <v>84720</v>
      </c>
      <c r="C13" s="10" t="n">
        <v>86538</v>
      </c>
      <c r="D13" s="10" t="n">
        <v>88395</v>
      </c>
      <c r="E13" s="10" t="n">
        <v>90293</v>
      </c>
      <c r="F13" s="10" t="n">
        <v>92232</v>
      </c>
      <c r="G13" s="10" t="n">
        <v>94213</v>
      </c>
      <c r="H13" s="10" t="n">
        <v>96237</v>
      </c>
      <c r="I13" s="10" t="n">
        <v>98305</v>
      </c>
      <c r="J13" s="10" t="n">
        <v>100418</v>
      </c>
      <c r="K13" s="10" t="n">
        <v>102577</v>
      </c>
      <c r="L13" s="10" t="n">
        <v>104783</v>
      </c>
      <c r="M13" s="10" t="n">
        <v>107037</v>
      </c>
      <c r="N13" s="10" t="n">
        <v>109340</v>
      </c>
    </row>
    <row r="14">
      <c r="A14" s="6" t="inlineStr">
        <is>
          <t>Marketing</t>
        </is>
      </c>
      <c r="B14" s="10" t="n">
        <v>35220</v>
      </c>
      <c r="C14" s="10" t="n">
        <v>34020</v>
      </c>
      <c r="D14" s="10" t="n">
        <v>35721</v>
      </c>
      <c r="E14" s="10" t="n">
        <v>37507</v>
      </c>
      <c r="F14" s="10" t="n">
        <v>39382</v>
      </c>
      <c r="G14" s="10" t="n">
        <v>34460</v>
      </c>
      <c r="H14" s="10" t="n">
        <v>36183</v>
      </c>
      <c r="I14" s="10" t="n">
        <v>37992</v>
      </c>
      <c r="J14" s="10" t="n">
        <v>39891</v>
      </c>
      <c r="K14" s="10" t="n">
        <v>41886</v>
      </c>
      <c r="L14" s="10" t="n">
        <v>43980</v>
      </c>
      <c r="M14" s="10" t="n">
        <v>46179</v>
      </c>
      <c r="N14" s="10" t="n">
        <v>48488</v>
      </c>
    </row>
    <row r="15">
      <c r="A15" s="23" t="inlineStr">
        <is>
          <t>EBITDA</t>
        </is>
      </c>
      <c r="B15" s="24" t="n">
        <v>-6750</v>
      </c>
      <c r="C15" s="24" t="n">
        <v>63744</v>
      </c>
      <c r="D15" s="24" t="n">
        <v>73667</v>
      </c>
      <c r="E15" s="24" t="n">
        <v>84288</v>
      </c>
      <c r="F15" s="24" t="n">
        <v>95648</v>
      </c>
      <c r="G15" s="24" t="n">
        <v>114683</v>
      </c>
      <c r="H15" s="24" t="n">
        <v>127999</v>
      </c>
      <c r="I15" s="24" t="n">
        <v>142210</v>
      </c>
      <c r="J15" s="24" t="n">
        <v>157367</v>
      </c>
      <c r="K15" s="24" t="n">
        <v>173525</v>
      </c>
      <c r="L15" s="24" t="n">
        <v>190743</v>
      </c>
      <c r="M15" s="24" t="n">
        <v>209079</v>
      </c>
      <c r="N15" s="24" t="n">
        <v>228600</v>
      </c>
    </row>
    <row r="16">
      <c r="A16" s="6" t="inlineStr">
        <is>
          <t>EBITDA Margin %</t>
        </is>
      </c>
      <c r="B16" s="11" t="n">
        <v>-0.01533219761499148</v>
      </c>
      <c r="C16" s="11" t="n">
        <v>0.1124232804232804</v>
      </c>
      <c r="D16" s="11" t="n">
        <v>0.1237371630133536</v>
      </c>
      <c r="E16" s="11" t="n">
        <v>0.1348352296968172</v>
      </c>
      <c r="F16" s="11" t="n">
        <v>0.145722063561765</v>
      </c>
      <c r="G16" s="11" t="n">
        <v>0.1664021405152542</v>
      </c>
      <c r="H16" s="11" t="n">
        <v>0.1768798319787763</v>
      </c>
      <c r="I16" s="11" t="n">
        <v>0.1871594075126037</v>
      </c>
      <c r="J16" s="11" t="n">
        <v>0.1972450373709521</v>
      </c>
      <c r="K16" s="11" t="n">
        <v>0.207140794989827</v>
      </c>
      <c r="L16" s="11" t="n">
        <v>0.2168506594093916</v>
      </c>
      <c r="M16" s="11" t="n">
        <v>0.2263785176326252</v>
      </c>
      <c r="N16" s="11" t="n">
        <v>0.2357281669220043</v>
      </c>
    </row>
    <row r="17">
      <c r="A17" s="6" t="inlineStr">
        <is>
          <t>Cumulative Cash Flow</t>
        </is>
      </c>
      <c r="B17" s="10" t="n">
        <v>-506750</v>
      </c>
      <c r="C17" s="10" t="n">
        <v>-443006</v>
      </c>
      <c r="D17" s="10" t="n">
        <v>-369339</v>
      </c>
      <c r="E17" s="10" t="n">
        <v>-285051</v>
      </c>
      <c r="F17" s="10" t="n">
        <v>-189403</v>
      </c>
      <c r="G17" s="10" t="n">
        <v>-74720</v>
      </c>
      <c r="H17" s="10" t="n">
        <v>53279</v>
      </c>
      <c r="I17" s="10" t="n">
        <v>195489</v>
      </c>
      <c r="J17" s="10" t="n">
        <v>352856</v>
      </c>
      <c r="K17" s="10" t="n">
        <v>526381</v>
      </c>
      <c r="L17" s="10" t="n">
        <v>717124</v>
      </c>
      <c r="M17" s="10" t="n">
        <v>926203</v>
      </c>
      <c r="N17" s="10" t="n">
        <v>1154803</v>
      </c>
    </row>
    <row r="18">
      <c r="A18" s="19" t="inlineStr">
        <is>
          <t>Revenue Growth %</t>
        </is>
      </c>
      <c r="B18" s="20" t="n">
        <v>0</v>
      </c>
      <c r="C18" s="20" t="n">
        <v>0.2879045996592844</v>
      </c>
      <c r="D18" s="20" t="n">
        <v>0.05000000000000004</v>
      </c>
      <c r="E18" s="20" t="n">
        <v>0.05000083984210968</v>
      </c>
      <c r="F18" s="20" t="n">
        <v>0.0499985602718207</v>
      </c>
      <c r="G18" s="20" t="n">
        <v>0.05000053323339015</v>
      </c>
      <c r="H18" s="20" t="n">
        <v>0.05000058038978983</v>
      </c>
      <c r="I18" s="20" t="n">
        <v>0.04999917087218719</v>
      </c>
      <c r="J18" s="20" t="n">
        <v>0.05000039482307983</v>
      </c>
      <c r="K18" s="20" t="n">
        <v>0.0499996239781606</v>
      </c>
      <c r="L18" s="20" t="n">
        <v>0.05000017905808285</v>
      </c>
      <c r="M18" s="20" t="n">
        <v>0.04999982946852155</v>
      </c>
      <c r="N18" s="20" t="n">
        <v>0.04999983758904181</v>
      </c>
    </row>
    <row r="20" ht="25" customHeight="1">
      <c r="A20" s="18" t="inlineStr">
        <is>
          <t>BASE CASE (50% Probability)</t>
        </is>
      </c>
    </row>
    <row r="21">
      <c r="A21" s="5" t="inlineStr">
        <is>
          <t>Line Item</t>
        </is>
      </c>
      <c r="B21" s="5" t="inlineStr">
        <is>
          <t>Year 1</t>
        </is>
      </c>
      <c r="C21" s="5" t="inlineStr">
        <is>
          <t>Year 2</t>
        </is>
      </c>
      <c r="D21" s="5" t="inlineStr">
        <is>
          <t>Year 3</t>
        </is>
      </c>
      <c r="E21" s="5" t="inlineStr">
        <is>
          <t>Year 4</t>
        </is>
      </c>
      <c r="F21" s="5" t="inlineStr">
        <is>
          <t>Year 5</t>
        </is>
      </c>
      <c r="G21" s="5" t="inlineStr">
        <is>
          <t>Year 6</t>
        </is>
      </c>
      <c r="H21" s="5" t="inlineStr">
        <is>
          <t>Year 7</t>
        </is>
      </c>
      <c r="I21" s="5" t="inlineStr">
        <is>
          <t>Year 8</t>
        </is>
      </c>
      <c r="J21" s="5" t="inlineStr">
        <is>
          <t>Year 9</t>
        </is>
      </c>
      <c r="K21" s="5" t="inlineStr">
        <is>
          <t>Year 10</t>
        </is>
      </c>
      <c r="L21" s="5" t="inlineStr">
        <is>
          <t>Year 11</t>
        </is>
      </c>
      <c r="M21" s="5" t="inlineStr">
        <is>
          <t>Year 12</t>
        </is>
      </c>
      <c r="N21" s="5" t="inlineStr">
        <is>
          <t>Year 13</t>
        </is>
      </c>
    </row>
    <row r="22">
      <c r="A22" s="6" t="inlineStr">
        <is>
          <t>Spa Revenue</t>
        </is>
      </c>
      <c r="B22" s="10" t="n">
        <v>337500</v>
      </c>
      <c r="C22" s="10" t="n">
        <v>378000</v>
      </c>
      <c r="D22" s="10" t="n">
        <v>396900</v>
      </c>
      <c r="E22" s="10" t="n">
        <v>416745</v>
      </c>
      <c r="F22" s="10" t="n">
        <v>437582</v>
      </c>
      <c r="G22" s="10" t="n">
        <v>459461</v>
      </c>
      <c r="H22" s="10" t="n">
        <v>482434</v>
      </c>
      <c r="I22" s="10" t="n">
        <v>506556</v>
      </c>
      <c r="J22" s="10" t="n">
        <v>531884</v>
      </c>
      <c r="K22" s="10" t="n">
        <v>558478</v>
      </c>
      <c r="L22" s="10" t="n">
        <v>586402</v>
      </c>
      <c r="M22" s="10" t="n">
        <v>615722</v>
      </c>
      <c r="N22" s="10" t="n">
        <v>646508</v>
      </c>
    </row>
    <row r="23">
      <c r="A23" s="6" t="inlineStr">
        <is>
          <t>Clinic Revenue</t>
        </is>
      </c>
      <c r="B23" s="10" t="n">
        <v>238500</v>
      </c>
      <c r="C23" s="10" t="n">
        <v>378000</v>
      </c>
      <c r="D23" s="10" t="n">
        <v>396900</v>
      </c>
      <c r="E23" s="10" t="n">
        <v>416745</v>
      </c>
      <c r="F23" s="10" t="n">
        <v>437582</v>
      </c>
      <c r="G23" s="10" t="n">
        <v>459461</v>
      </c>
      <c r="H23" s="10" t="n">
        <v>482434</v>
      </c>
      <c r="I23" s="10" t="n">
        <v>506556</v>
      </c>
      <c r="J23" s="10" t="n">
        <v>531884</v>
      </c>
      <c r="K23" s="10" t="n">
        <v>558478</v>
      </c>
      <c r="L23" s="10" t="n">
        <v>586402</v>
      </c>
      <c r="M23" s="10" t="n">
        <v>615722</v>
      </c>
      <c r="N23" s="10" t="n">
        <v>646508</v>
      </c>
    </row>
    <row r="24">
      <c r="A24" s="21" t="inlineStr">
        <is>
          <t>TOTAL REVENUE</t>
        </is>
      </c>
      <c r="B24" s="22" t="n">
        <v>576000</v>
      </c>
      <c r="C24" s="22" t="n">
        <v>756000</v>
      </c>
      <c r="D24" s="22" t="n">
        <v>793800</v>
      </c>
      <c r="E24" s="22" t="n">
        <v>833490</v>
      </c>
      <c r="F24" s="22" t="n">
        <v>875165</v>
      </c>
      <c r="G24" s="22" t="n">
        <v>918923</v>
      </c>
      <c r="H24" s="22" t="n">
        <v>964869</v>
      </c>
      <c r="I24" s="22" t="n">
        <v>1013112</v>
      </c>
      <c r="J24" s="22" t="n">
        <v>1063768</v>
      </c>
      <c r="K24" s="22" t="n">
        <v>1116956</v>
      </c>
      <c r="L24" s="22" t="n">
        <v>1172804</v>
      </c>
      <c r="M24" s="22" t="n">
        <v>1231444</v>
      </c>
      <c r="N24" s="22" t="n">
        <v>1293017</v>
      </c>
    </row>
    <row r="25">
      <c r="A25" s="6" t="inlineStr">
        <is>
          <t>COGS</t>
        </is>
      </c>
      <c r="B25" s="10" t="n">
        <v>96953</v>
      </c>
      <c r="C25" s="10" t="n">
        <v>137970</v>
      </c>
      <c r="D25" s="10" t="n">
        <v>144868</v>
      </c>
      <c r="E25" s="10" t="n">
        <v>152112</v>
      </c>
      <c r="F25" s="10" t="n">
        <v>159718</v>
      </c>
      <c r="G25" s="10" t="n">
        <v>167703</v>
      </c>
      <c r="H25" s="10" t="n">
        <v>176089</v>
      </c>
      <c r="I25" s="10" t="n">
        <v>184893</v>
      </c>
      <c r="J25" s="10" t="n">
        <v>194138</v>
      </c>
      <c r="K25" s="10" t="n">
        <v>203845</v>
      </c>
      <c r="L25" s="10" t="n">
        <v>214037</v>
      </c>
      <c r="M25" s="10" t="n">
        <v>224739</v>
      </c>
      <c r="N25" s="10" t="n">
        <v>235976</v>
      </c>
    </row>
    <row r="26">
      <c r="A26" s="23" t="inlineStr">
        <is>
          <t>GROSS PROFIT</t>
        </is>
      </c>
      <c r="B26" s="24" t="n">
        <v>479047</v>
      </c>
      <c r="C26" s="24" t="n">
        <v>618030</v>
      </c>
      <c r="D26" s="24" t="n">
        <v>648932</v>
      </c>
      <c r="E26" s="24" t="n">
        <v>681378</v>
      </c>
      <c r="F26" s="24" t="n">
        <v>715447</v>
      </c>
      <c r="G26" s="24" t="n">
        <v>751219</v>
      </c>
      <c r="H26" s="24" t="n">
        <v>788780</v>
      </c>
      <c r="I26" s="24" t="n">
        <v>828219</v>
      </c>
      <c r="J26" s="24" t="n">
        <v>869630</v>
      </c>
      <c r="K26" s="24" t="n">
        <v>913112</v>
      </c>
      <c r="L26" s="24" t="n">
        <v>958767</v>
      </c>
      <c r="M26" s="24" t="n">
        <v>1006706</v>
      </c>
      <c r="N26" s="24" t="n">
        <v>1057041</v>
      </c>
    </row>
    <row r="27">
      <c r="A27" s="6" t="inlineStr">
        <is>
          <t>Gross Margin %</t>
        </is>
      </c>
      <c r="B27" s="11" t="n">
        <v>0.8316788194444444</v>
      </c>
      <c r="C27" s="11" t="n">
        <v>0.8175</v>
      </c>
      <c r="D27" s="11" t="n">
        <v>0.8175006298815822</v>
      </c>
      <c r="E27" s="11" t="n">
        <v>0.8174999100169168</v>
      </c>
      <c r="F27" s="11" t="n">
        <v>0.8174995572263516</v>
      </c>
      <c r="G27" s="11" t="n">
        <v>0.8174993987526702</v>
      </c>
      <c r="H27" s="11" t="n">
        <v>0.8174995776628744</v>
      </c>
      <c r="I27" s="11" t="n">
        <v>0.817499940776538</v>
      </c>
      <c r="J27" s="11" t="n">
        <v>0.8174996803814365</v>
      </c>
      <c r="K27" s="11" t="n">
        <v>0.8175004207864948</v>
      </c>
      <c r="L27" s="11" t="n">
        <v>0.8174997697825042</v>
      </c>
      <c r="M27" s="11" t="n">
        <v>0.8175004303890392</v>
      </c>
      <c r="N27" s="11" t="n">
        <v>0.8174996925794479</v>
      </c>
    </row>
    <row r="28">
      <c r="A28" s="6" t="inlineStr">
        <is>
          <t>Payroll</t>
        </is>
      </c>
      <c r="B28" s="10" t="n">
        <v>267300</v>
      </c>
      <c r="C28" s="10" t="n">
        <v>306153</v>
      </c>
      <c r="D28" s="10" t="n">
        <v>316868</v>
      </c>
      <c r="E28" s="10" t="n">
        <v>327959</v>
      </c>
      <c r="F28" s="10" t="n">
        <v>339437</v>
      </c>
      <c r="G28" s="10" t="n">
        <v>351318</v>
      </c>
      <c r="H28" s="10" t="n">
        <v>363614</v>
      </c>
      <c r="I28" s="10" t="n">
        <v>376340</v>
      </c>
      <c r="J28" s="10" t="n">
        <v>389512</v>
      </c>
      <c r="K28" s="10" t="n">
        <v>403145</v>
      </c>
      <c r="L28" s="10" t="n">
        <v>417255</v>
      </c>
      <c r="M28" s="10" t="n">
        <v>431859</v>
      </c>
      <c r="N28" s="10" t="n">
        <v>446974</v>
      </c>
    </row>
    <row r="29">
      <c r="A29" s="6" t="inlineStr">
        <is>
          <t>Fixed OpEx</t>
        </is>
      </c>
      <c r="B29" s="10" t="n">
        <v>84720</v>
      </c>
      <c r="C29" s="10" t="n">
        <v>86538</v>
      </c>
      <c r="D29" s="10" t="n">
        <v>88395</v>
      </c>
      <c r="E29" s="10" t="n">
        <v>90293</v>
      </c>
      <c r="F29" s="10" t="n">
        <v>92232</v>
      </c>
      <c r="G29" s="10" t="n">
        <v>94213</v>
      </c>
      <c r="H29" s="10" t="n">
        <v>96237</v>
      </c>
      <c r="I29" s="10" t="n">
        <v>98305</v>
      </c>
      <c r="J29" s="10" t="n">
        <v>100418</v>
      </c>
      <c r="K29" s="10" t="n">
        <v>102577</v>
      </c>
      <c r="L29" s="10" t="n">
        <v>104783</v>
      </c>
      <c r="M29" s="10" t="n">
        <v>107037</v>
      </c>
      <c r="N29" s="10" t="n">
        <v>109340</v>
      </c>
    </row>
    <row r="30">
      <c r="A30" s="6" t="inlineStr">
        <is>
          <t>Marketing</t>
        </is>
      </c>
      <c r="B30" s="10" t="n">
        <v>46080</v>
      </c>
      <c r="C30" s="10" t="n">
        <v>45360</v>
      </c>
      <c r="D30" s="10" t="n">
        <v>47628</v>
      </c>
      <c r="E30" s="10" t="n">
        <v>50009</v>
      </c>
      <c r="F30" s="10" t="n">
        <v>52510</v>
      </c>
      <c r="G30" s="10" t="n">
        <v>45946</v>
      </c>
      <c r="H30" s="10" t="n">
        <v>48243</v>
      </c>
      <c r="I30" s="10" t="n">
        <v>50656</v>
      </c>
      <c r="J30" s="10" t="n">
        <v>53188</v>
      </c>
      <c r="K30" s="10" t="n">
        <v>55848</v>
      </c>
      <c r="L30" s="10" t="n">
        <v>58640</v>
      </c>
      <c r="M30" s="10" t="n">
        <v>61572</v>
      </c>
      <c r="N30" s="10" t="n">
        <v>64651</v>
      </c>
    </row>
    <row r="31">
      <c r="A31" s="23" t="inlineStr">
        <is>
          <t>EBITDA</t>
        </is>
      </c>
      <c r="B31" s="24" t="n">
        <v>80947</v>
      </c>
      <c r="C31" s="24" t="n">
        <v>179979</v>
      </c>
      <c r="D31" s="24" t="n">
        <v>196040</v>
      </c>
      <c r="E31" s="24" t="n">
        <v>213117</v>
      </c>
      <c r="F31" s="24" t="n">
        <v>231268</v>
      </c>
      <c r="G31" s="24" t="n">
        <v>259742</v>
      </c>
      <c r="H31" s="24" t="n">
        <v>280686</v>
      </c>
      <c r="I31" s="24" t="n">
        <v>302918</v>
      </c>
      <c r="J31" s="24" t="n">
        <v>326511</v>
      </c>
      <c r="K31" s="24" t="n">
        <v>351541</v>
      </c>
      <c r="L31" s="24" t="n">
        <v>378089</v>
      </c>
      <c r="M31" s="24" t="n">
        <v>406237</v>
      </c>
      <c r="N31" s="24" t="n">
        <v>436076</v>
      </c>
    </row>
    <row r="32">
      <c r="A32" s="6" t="inlineStr">
        <is>
          <t>EBITDA Margin %</t>
        </is>
      </c>
      <c r="B32" s="11" t="n">
        <v>0.1405329861111111</v>
      </c>
      <c r="C32" s="11" t="n">
        <v>0.2380674603174603</v>
      </c>
      <c r="D32" s="11" t="n">
        <v>0.2469635865457294</v>
      </c>
      <c r="E32" s="11" t="n">
        <v>0.2556919834971026</v>
      </c>
      <c r="F32" s="11" t="n">
        <v>0.2642561723068922</v>
      </c>
      <c r="G32" s="11" t="n">
        <v>0.2826595925272153</v>
      </c>
      <c r="H32" s="11" t="n">
        <v>0.2909056041657029</v>
      </c>
      <c r="I32" s="11" t="n">
        <v>0.2989974896706218</v>
      </c>
      <c r="J32" s="11" t="n">
        <v>0.3069384558638664</v>
      </c>
      <c r="K32" s="11" t="n">
        <v>0.3147316358232277</v>
      </c>
      <c r="L32" s="11" t="n">
        <v>0.3223800907153173</v>
      </c>
      <c r="M32" s="11" t="n">
        <v>0.3298868115804815</v>
      </c>
      <c r="N32" s="11" t="n">
        <v>0.3372547210710013</v>
      </c>
    </row>
    <row r="33">
      <c r="A33" s="6" t="inlineStr">
        <is>
          <t>Cumulative Cash Flow</t>
        </is>
      </c>
      <c r="B33" s="10" t="n">
        <v>-419053</v>
      </c>
      <c r="C33" s="10" t="n">
        <v>-239074</v>
      </c>
      <c r="D33" s="10" t="n">
        <v>-43034</v>
      </c>
      <c r="E33" s="10" t="n">
        <v>170083</v>
      </c>
      <c r="F33" s="10" t="n">
        <v>401351</v>
      </c>
      <c r="G33" s="10" t="n">
        <v>661093</v>
      </c>
      <c r="H33" s="10" t="n">
        <v>941779</v>
      </c>
      <c r="I33" s="10" t="n">
        <v>1244697</v>
      </c>
      <c r="J33" s="10" t="n">
        <v>1571208</v>
      </c>
      <c r="K33" s="10" t="n">
        <v>1922749</v>
      </c>
      <c r="L33" s="10" t="n">
        <v>2300838</v>
      </c>
      <c r="M33" s="10" t="n">
        <v>2707075</v>
      </c>
      <c r="N33" s="10" t="n">
        <v>3143151</v>
      </c>
    </row>
    <row r="34">
      <c r="A34" s="19" t="inlineStr">
        <is>
          <t>Revenue Growth %</t>
        </is>
      </c>
      <c r="B34" s="20" t="n">
        <v>0</v>
      </c>
      <c r="C34" s="20" t="n">
        <v>0.3125</v>
      </c>
      <c r="D34" s="20" t="n">
        <v>0.05000000000000004</v>
      </c>
      <c r="E34" s="20" t="n">
        <v>0.05000000000000004</v>
      </c>
      <c r="F34" s="20" t="n">
        <v>0.05000059988722128</v>
      </c>
      <c r="G34" s="20" t="n">
        <v>0.04999971433958161</v>
      </c>
      <c r="H34" s="20" t="n">
        <v>0.04999983676543085</v>
      </c>
      <c r="I34" s="20" t="n">
        <v>0.04999953361544418</v>
      </c>
      <c r="J34" s="20" t="n">
        <v>0.05000039482307983</v>
      </c>
      <c r="K34" s="20" t="n">
        <v>0.0499996239781606</v>
      </c>
      <c r="L34" s="20" t="n">
        <v>0.05000017905808285</v>
      </c>
      <c r="M34" s="20" t="n">
        <v>0.04999982946852155</v>
      </c>
      <c r="N34" s="20" t="n">
        <v>0.05000064964383277</v>
      </c>
    </row>
    <row r="36" ht="25" customHeight="1">
      <c r="A36" s="18" t="inlineStr">
        <is>
          <t>BULL CASE (25% Probability)</t>
        </is>
      </c>
    </row>
    <row r="37">
      <c r="A37" s="5" t="inlineStr">
        <is>
          <t>Line Item</t>
        </is>
      </c>
      <c r="B37" s="5" t="inlineStr">
        <is>
          <t>Year 1</t>
        </is>
      </c>
      <c r="C37" s="5" t="inlineStr">
        <is>
          <t>Year 2</t>
        </is>
      </c>
      <c r="D37" s="5" t="inlineStr">
        <is>
          <t>Year 3</t>
        </is>
      </c>
      <c r="E37" s="5" t="inlineStr">
        <is>
          <t>Year 4</t>
        </is>
      </c>
      <c r="F37" s="5" t="inlineStr">
        <is>
          <t>Year 5</t>
        </is>
      </c>
      <c r="G37" s="5" t="inlineStr">
        <is>
          <t>Year 6</t>
        </is>
      </c>
      <c r="H37" s="5" t="inlineStr">
        <is>
          <t>Year 7</t>
        </is>
      </c>
      <c r="I37" s="5" t="inlineStr">
        <is>
          <t>Year 8</t>
        </is>
      </c>
      <c r="J37" s="5" t="inlineStr">
        <is>
          <t>Year 9</t>
        </is>
      </c>
      <c r="K37" s="5" t="inlineStr">
        <is>
          <t>Year 10</t>
        </is>
      </c>
      <c r="L37" s="5" t="inlineStr">
        <is>
          <t>Year 11</t>
        </is>
      </c>
      <c r="M37" s="5" t="inlineStr">
        <is>
          <t>Year 12</t>
        </is>
      </c>
      <c r="N37" s="5" t="inlineStr">
        <is>
          <t>Year 13</t>
        </is>
      </c>
    </row>
    <row r="38">
      <c r="A38" s="6" t="inlineStr">
        <is>
          <t>Spa Revenue</t>
        </is>
      </c>
      <c r="B38" s="10" t="n">
        <v>506250</v>
      </c>
      <c r="C38" s="10" t="n">
        <v>567000</v>
      </c>
      <c r="D38" s="10" t="n">
        <v>595350</v>
      </c>
      <c r="E38" s="10" t="n">
        <v>625118</v>
      </c>
      <c r="F38" s="10" t="n">
        <v>656373</v>
      </c>
      <c r="G38" s="10" t="n">
        <v>689192</v>
      </c>
      <c r="H38" s="10" t="n">
        <v>723652</v>
      </c>
      <c r="I38" s="10" t="n">
        <v>759834</v>
      </c>
      <c r="J38" s="10" t="n">
        <v>797826</v>
      </c>
      <c r="K38" s="10" t="n">
        <v>837717</v>
      </c>
      <c r="L38" s="10" t="n">
        <v>879603</v>
      </c>
      <c r="M38" s="10" t="n">
        <v>923583</v>
      </c>
      <c r="N38" s="10" t="n">
        <v>969762</v>
      </c>
    </row>
    <row r="39">
      <c r="A39" s="6" t="inlineStr">
        <is>
          <t>Clinic Revenue</t>
        </is>
      </c>
      <c r="B39" s="10" t="n">
        <v>437250</v>
      </c>
      <c r="C39" s="10" t="n">
        <v>693000</v>
      </c>
      <c r="D39" s="10" t="n">
        <v>727650</v>
      </c>
      <c r="E39" s="10" t="n">
        <v>764033</v>
      </c>
      <c r="F39" s="10" t="n">
        <v>802234</v>
      </c>
      <c r="G39" s="10" t="n">
        <v>842346</v>
      </c>
      <c r="H39" s="10" t="n">
        <v>884463</v>
      </c>
      <c r="I39" s="10" t="n">
        <v>928686</v>
      </c>
      <c r="J39" s="10" t="n">
        <v>975121</v>
      </c>
      <c r="K39" s="10" t="n">
        <v>1023877</v>
      </c>
      <c r="L39" s="10" t="n">
        <v>1075070</v>
      </c>
      <c r="M39" s="10" t="n">
        <v>1128824</v>
      </c>
      <c r="N39" s="10" t="n">
        <v>1185265</v>
      </c>
    </row>
    <row r="40">
      <c r="A40" s="21" t="inlineStr">
        <is>
          <t>TOTAL REVENUE</t>
        </is>
      </c>
      <c r="B40" s="22" t="n">
        <v>943500</v>
      </c>
      <c r="C40" s="22" t="n">
        <v>1260000</v>
      </c>
      <c r="D40" s="22" t="n">
        <v>1323000</v>
      </c>
      <c r="E40" s="22" t="n">
        <v>1389150</v>
      </c>
      <c r="F40" s="22" t="n">
        <v>1458608</v>
      </c>
      <c r="G40" s="22" t="n">
        <v>1531538</v>
      </c>
      <c r="H40" s="22" t="n">
        <v>1608115</v>
      </c>
      <c r="I40" s="22" t="n">
        <v>1688521</v>
      </c>
      <c r="J40" s="22" t="n">
        <v>1772947</v>
      </c>
      <c r="K40" s="22" t="n">
        <v>1861594</v>
      </c>
      <c r="L40" s="22" t="n">
        <v>1954674</v>
      </c>
      <c r="M40" s="22" t="n">
        <v>2052407</v>
      </c>
      <c r="N40" s="22" t="n">
        <v>2155028</v>
      </c>
    </row>
    <row r="41">
      <c r="A41" s="6" t="inlineStr">
        <is>
          <t>COGS</t>
        </is>
      </c>
      <c r="B41" s="10" t="n">
        <v>166497</v>
      </c>
      <c r="C41" s="10" t="n">
        <v>240345</v>
      </c>
      <c r="D41" s="10" t="n">
        <v>252362</v>
      </c>
      <c r="E41" s="10" t="n">
        <v>264980</v>
      </c>
      <c r="F41" s="10" t="n">
        <v>278229</v>
      </c>
      <c r="G41" s="10" t="n">
        <v>292141</v>
      </c>
      <c r="H41" s="10" t="n">
        <v>306748</v>
      </c>
      <c r="I41" s="10" t="n">
        <v>322085</v>
      </c>
      <c r="J41" s="10" t="n">
        <v>338190</v>
      </c>
      <c r="K41" s="10" t="n">
        <v>355099</v>
      </c>
      <c r="L41" s="10" t="n">
        <v>372854</v>
      </c>
      <c r="M41" s="10" t="n">
        <v>391497</v>
      </c>
      <c r="N41" s="10" t="n">
        <v>411072</v>
      </c>
    </row>
    <row r="42">
      <c r="A42" s="23" t="inlineStr">
        <is>
          <t>GROSS PROFIT</t>
        </is>
      </c>
      <c r="B42" s="24" t="n">
        <v>777003</v>
      </c>
      <c r="C42" s="24" t="n">
        <v>1019655</v>
      </c>
      <c r="D42" s="24" t="n">
        <v>1070638</v>
      </c>
      <c r="E42" s="24" t="n">
        <v>1124170</v>
      </c>
      <c r="F42" s="24" t="n">
        <v>1180378</v>
      </c>
      <c r="G42" s="24" t="n">
        <v>1239397</v>
      </c>
      <c r="H42" s="24" t="n">
        <v>1301367</v>
      </c>
      <c r="I42" s="24" t="n">
        <v>1366435</v>
      </c>
      <c r="J42" s="24" t="n">
        <v>1434757</v>
      </c>
      <c r="K42" s="24" t="n">
        <v>1506495</v>
      </c>
      <c r="L42" s="24" t="n">
        <v>1581820</v>
      </c>
      <c r="M42" s="24" t="n">
        <v>1660911</v>
      </c>
      <c r="N42" s="24" t="n">
        <v>1743956</v>
      </c>
    </row>
    <row r="43">
      <c r="A43" s="6" t="inlineStr">
        <is>
          <t>Gross Margin %</t>
        </is>
      </c>
      <c r="B43" s="11" t="n">
        <v>0.8235325914149444</v>
      </c>
      <c r="C43" s="11" t="n">
        <v>0.80925</v>
      </c>
      <c r="D43" s="11" t="n">
        <v>0.8092501889644746</v>
      </c>
      <c r="E43" s="11" t="n">
        <v>0.8092502609509412</v>
      </c>
      <c r="F43" s="11" t="n">
        <v>0.8092496407533758</v>
      </c>
      <c r="G43" s="11" t="n">
        <v>0.80924991740329</v>
      </c>
      <c r="H43" s="11" t="n">
        <v>0.8092499603573128</v>
      </c>
      <c r="I43" s="11" t="n">
        <v>0.809249633258929</v>
      </c>
      <c r="J43" s="11" t="n">
        <v>0.809249797089253</v>
      </c>
      <c r="K43" s="11" t="n">
        <v>0.8092500298131601</v>
      </c>
      <c r="L43" s="11" t="n">
        <v>0.809250033509424</v>
      </c>
      <c r="M43" s="11" t="n">
        <v>0.8092503095146333</v>
      </c>
      <c r="N43" s="11" t="n">
        <v>0.8092498102112826</v>
      </c>
    </row>
    <row r="44">
      <c r="A44" s="6" t="inlineStr">
        <is>
          <t>Payroll</t>
        </is>
      </c>
      <c r="B44" s="10" t="n">
        <v>283050</v>
      </c>
      <c r="C44" s="10" t="n">
        <v>327888</v>
      </c>
      <c r="D44" s="10" t="n">
        <v>339364</v>
      </c>
      <c r="E44" s="10" t="n">
        <v>351242</v>
      </c>
      <c r="F44" s="10" t="n">
        <v>363535</v>
      </c>
      <c r="G44" s="10" t="n">
        <v>376259</v>
      </c>
      <c r="H44" s="10" t="n">
        <v>389428</v>
      </c>
      <c r="I44" s="10" t="n">
        <v>403058</v>
      </c>
      <c r="J44" s="10" t="n">
        <v>417165</v>
      </c>
      <c r="K44" s="10" t="n">
        <v>431766</v>
      </c>
      <c r="L44" s="10" t="n">
        <v>446878</v>
      </c>
      <c r="M44" s="10" t="n">
        <v>462518</v>
      </c>
      <c r="N44" s="10" t="n">
        <v>478707</v>
      </c>
    </row>
    <row r="45">
      <c r="A45" s="6" t="inlineStr">
        <is>
          <t>Fixed OpEx</t>
        </is>
      </c>
      <c r="B45" s="10" t="n">
        <v>84720</v>
      </c>
      <c r="C45" s="10" t="n">
        <v>86538</v>
      </c>
      <c r="D45" s="10" t="n">
        <v>88395</v>
      </c>
      <c r="E45" s="10" t="n">
        <v>90293</v>
      </c>
      <c r="F45" s="10" t="n">
        <v>92232</v>
      </c>
      <c r="G45" s="10" t="n">
        <v>94213</v>
      </c>
      <c r="H45" s="10" t="n">
        <v>96237</v>
      </c>
      <c r="I45" s="10" t="n">
        <v>98305</v>
      </c>
      <c r="J45" s="10" t="n">
        <v>100418</v>
      </c>
      <c r="K45" s="10" t="n">
        <v>102577</v>
      </c>
      <c r="L45" s="10" t="n">
        <v>104783</v>
      </c>
      <c r="M45" s="10" t="n">
        <v>107037</v>
      </c>
      <c r="N45" s="10" t="n">
        <v>109340</v>
      </c>
    </row>
    <row r="46">
      <c r="A46" s="6" t="inlineStr">
        <is>
          <t>Marketing</t>
        </is>
      </c>
      <c r="B46" s="10" t="n">
        <v>75480</v>
      </c>
      <c r="C46" s="10" t="n">
        <v>75600</v>
      </c>
      <c r="D46" s="10" t="n">
        <v>79380</v>
      </c>
      <c r="E46" s="10" t="n">
        <v>83349</v>
      </c>
      <c r="F46" s="10" t="n">
        <v>87516</v>
      </c>
      <c r="G46" s="10" t="n">
        <v>76577</v>
      </c>
      <c r="H46" s="10" t="n">
        <v>80406</v>
      </c>
      <c r="I46" s="10" t="n">
        <v>84426</v>
      </c>
      <c r="J46" s="10" t="n">
        <v>88647</v>
      </c>
      <c r="K46" s="10" t="n">
        <v>93080</v>
      </c>
      <c r="L46" s="10" t="n">
        <v>97734</v>
      </c>
      <c r="M46" s="10" t="n">
        <v>102620</v>
      </c>
      <c r="N46" s="10" t="n">
        <v>107751</v>
      </c>
    </row>
    <row r="47">
      <c r="A47" s="23" t="inlineStr">
        <is>
          <t>EBITDA</t>
        </is>
      </c>
      <c r="B47" s="24" t="n">
        <v>333753</v>
      </c>
      <c r="C47" s="24" t="n">
        <v>529629</v>
      </c>
      <c r="D47" s="24" t="n">
        <v>563498</v>
      </c>
      <c r="E47" s="24" t="n">
        <v>599286</v>
      </c>
      <c r="F47" s="24" t="n">
        <v>637094</v>
      </c>
      <c r="G47" s="24" t="n">
        <v>692348</v>
      </c>
      <c r="H47" s="24" t="n">
        <v>735296</v>
      </c>
      <c r="I47" s="24" t="n">
        <v>780646</v>
      </c>
      <c r="J47" s="24" t="n">
        <v>828526</v>
      </c>
      <c r="K47" s="24" t="n">
        <v>879072</v>
      </c>
      <c r="L47" s="24" t="n">
        <v>932425</v>
      </c>
      <c r="M47" s="24" t="n">
        <v>988735</v>
      </c>
      <c r="N47" s="24" t="n">
        <v>1048158</v>
      </c>
    </row>
    <row r="48">
      <c r="A48" s="6" t="inlineStr">
        <is>
          <t>EBITDA Margin %</t>
        </is>
      </c>
      <c r="B48" s="11" t="n">
        <v>0.3537392686804451</v>
      </c>
      <c r="C48" s="11" t="n">
        <v>0.4203404761904762</v>
      </c>
      <c r="D48" s="11" t="n">
        <v>0.4259245804988663</v>
      </c>
      <c r="E48" s="11" t="n">
        <v>0.4314045268329554</v>
      </c>
      <c r="F48" s="11" t="n">
        <v>0.4367824781654764</v>
      </c>
      <c r="G48" s="11" t="n">
        <v>0.4520605478007941</v>
      </c>
      <c r="H48" s="11" t="n">
        <v>0.4572408006083941</v>
      </c>
      <c r="I48" s="11" t="n">
        <v>0.4623252542240745</v>
      </c>
      <c r="J48" s="11" t="n">
        <v>0.4673158802197113</v>
      </c>
      <c r="K48" s="11" t="n">
        <v>0.472214605242451</v>
      </c>
      <c r="L48" s="11" t="n">
        <v>0.4770233121241545</v>
      </c>
      <c r="M48" s="11" t="n">
        <v>0.4817438409618964</v>
      </c>
      <c r="N48" s="11" t="n">
        <v>0.4863779901702996</v>
      </c>
    </row>
    <row r="49">
      <c r="A49" s="6" t="inlineStr">
        <is>
          <t>Cumulative Cash Flow</t>
        </is>
      </c>
      <c r="B49" s="10" t="n">
        <v>-166247</v>
      </c>
      <c r="C49" s="10" t="n">
        <v>363382</v>
      </c>
      <c r="D49" s="10" t="n">
        <v>926880</v>
      </c>
      <c r="E49" s="10" t="n">
        <v>1526166</v>
      </c>
      <c r="F49" s="10" t="n">
        <v>2163260</v>
      </c>
      <c r="G49" s="10" t="n">
        <v>2855608</v>
      </c>
      <c r="H49" s="10" t="n">
        <v>3590904</v>
      </c>
      <c r="I49" s="10" t="n">
        <v>4371550</v>
      </c>
      <c r="J49" s="10" t="n">
        <v>5200076</v>
      </c>
      <c r="K49" s="10" t="n">
        <v>6079148</v>
      </c>
      <c r="L49" s="10" t="n">
        <v>7011573</v>
      </c>
      <c r="M49" s="10" t="n">
        <v>8000308</v>
      </c>
      <c r="N49" s="10" t="n">
        <v>9048466</v>
      </c>
    </row>
    <row r="50">
      <c r="A50" s="19" t="inlineStr">
        <is>
          <t>Revenue Growth %</t>
        </is>
      </c>
      <c r="B50" s="20" t="n">
        <v>0</v>
      </c>
      <c r="C50" s="20" t="n">
        <v>0.3354531001589824</v>
      </c>
      <c r="D50" s="20" t="n">
        <v>0.05000000000000004</v>
      </c>
      <c r="E50" s="20" t="n">
        <v>0.05000000000000004</v>
      </c>
      <c r="F50" s="20" t="n">
        <v>0.05000035993233265</v>
      </c>
      <c r="G50" s="20" t="n">
        <v>0.0499997257659357</v>
      </c>
      <c r="H50" s="20" t="n">
        <v>0.05000006529384193</v>
      </c>
      <c r="I50" s="20" t="n">
        <v>0.05000015546151859</v>
      </c>
      <c r="J50" s="20" t="n">
        <v>0.04999997038828652</v>
      </c>
      <c r="K50" s="20" t="n">
        <v>0.04999980258857151</v>
      </c>
      <c r="L50" s="20" t="n">
        <v>0.05000016115221695</v>
      </c>
      <c r="M50" s="20" t="n">
        <v>0.0499996418840174</v>
      </c>
      <c r="N50" s="20" t="n">
        <v>0.05000031670131699</v>
      </c>
    </row>
    <row r="52">
      <c r="A52" s="14" t="inlineStr">
        <is>
          <t>CHANGE FROM v1.0: Year 1 EBITDA is now LOWER due to: (a) clinic ramp from Month 3 not Month 1, (b) spa attrition in Months 1-3, (c) marketing costs added at 8%. This is more conservative and more realistic.</t>
        </is>
      </c>
    </row>
  </sheetData>
  <mergeCells count="6">
    <mergeCell ref="A4:N4"/>
    <mergeCell ref="A20:N20"/>
    <mergeCell ref="A2:N2"/>
    <mergeCell ref="A52:N52"/>
    <mergeCell ref="A36:N36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5" customHeight="1">
      <c r="A1" s="1" t="inlineStr">
        <is>
          <t>SPA vs CLINIC - SEPARATE BUSINESS UNIT P&amp;Ls</t>
        </is>
      </c>
    </row>
    <row r="2">
      <c r="A2" s="17" t="inlineStr">
        <is>
          <t>PURPOSE: These are two fundamentally different businesses with different margin profiles, growth trajectories, and risk characteristics. Separating them reveals true unit economics.</t>
        </is>
      </c>
    </row>
    <row r="4" ht="25" customHeight="1">
      <c r="A4" s="18" t="inlineStr">
        <is>
          <t>SPA BUSINESS - BASE CASE - DETAILED SPLIT</t>
        </is>
      </c>
    </row>
    <row r="5">
      <c r="A5" s="5" t="inlineStr">
        <is>
          <t>Line Item</t>
        </is>
      </c>
      <c r="B5" s="5" t="inlineStr">
        <is>
          <t>Year 1</t>
        </is>
      </c>
      <c r="C5" s="5" t="inlineStr">
        <is>
          <t>Year 2</t>
        </is>
      </c>
      <c r="D5" s="5" t="inlineStr">
        <is>
          <t>Year 3</t>
        </is>
      </c>
      <c r="E5" s="5" t="inlineStr">
        <is>
          <t>Year 4</t>
        </is>
      </c>
      <c r="F5" s="5" t="inlineStr">
        <is>
          <t>Year 5</t>
        </is>
      </c>
      <c r="G5" s="5" t="inlineStr">
        <is>
          <t>Year 6</t>
        </is>
      </c>
      <c r="H5" s="5" t="inlineStr">
        <is>
          <t>Year 7</t>
        </is>
      </c>
      <c r="I5" s="5" t="inlineStr">
        <is>
          <t>Year 8</t>
        </is>
      </c>
      <c r="J5" s="5" t="inlineStr">
        <is>
          <t>Year 9</t>
        </is>
      </c>
      <c r="K5" s="5" t="inlineStr">
        <is>
          <t>Year 10</t>
        </is>
      </c>
      <c r="L5" s="5" t="inlineStr">
        <is>
          <t>Year 11</t>
        </is>
      </c>
      <c r="M5" s="5" t="inlineStr">
        <is>
          <t>Year 12</t>
        </is>
      </c>
      <c r="N5" s="5" t="inlineStr">
        <is>
          <t>Year 13</t>
        </is>
      </c>
    </row>
    <row r="6">
      <c r="A6" s="21" t="inlineStr">
        <is>
          <t>Spa Revenue</t>
        </is>
      </c>
      <c r="B6" s="22" t="n">
        <v>337500</v>
      </c>
      <c r="C6" s="22" t="n">
        <v>378000</v>
      </c>
      <c r="D6" s="22" t="n">
        <v>396900</v>
      </c>
      <c r="E6" s="22" t="n">
        <v>416745</v>
      </c>
      <c r="F6" s="22" t="n">
        <v>437582</v>
      </c>
      <c r="G6" s="22" t="n">
        <v>459461</v>
      </c>
      <c r="H6" s="22" t="n">
        <v>482434</v>
      </c>
      <c r="I6" s="22" t="n">
        <v>506556</v>
      </c>
      <c r="J6" s="22" t="n">
        <v>531884</v>
      </c>
      <c r="K6" s="22" t="n">
        <v>558478</v>
      </c>
      <c r="L6" s="22" t="n">
        <v>586402</v>
      </c>
      <c r="M6" s="22" t="n">
        <v>615722</v>
      </c>
      <c r="N6" s="22" t="n">
        <v>646508</v>
      </c>
    </row>
    <row r="7">
      <c r="A7" s="6" t="inlineStr">
        <is>
          <t>Spa COGS (8% + contingency)</t>
        </is>
      </c>
      <c r="B7" s="10" t="n">
        <v>30375</v>
      </c>
      <c r="C7" s="10" t="n">
        <v>34020</v>
      </c>
      <c r="D7" s="10" t="n">
        <v>35721</v>
      </c>
      <c r="E7" s="10" t="n">
        <v>37507</v>
      </c>
      <c r="F7" s="10" t="n">
        <v>39382</v>
      </c>
      <c r="G7" s="10" t="n">
        <v>41351</v>
      </c>
      <c r="H7" s="10" t="n">
        <v>43419</v>
      </c>
      <c r="I7" s="10" t="n">
        <v>45590</v>
      </c>
      <c r="J7" s="10" t="n">
        <v>47870</v>
      </c>
      <c r="K7" s="10" t="n">
        <v>50263</v>
      </c>
      <c r="L7" s="10" t="n">
        <v>52776</v>
      </c>
      <c r="M7" s="10" t="n">
        <v>55415</v>
      </c>
      <c r="N7" s="10" t="n">
        <v>58186</v>
      </c>
    </row>
    <row r="8">
      <c r="A8" s="23" t="inlineStr">
        <is>
          <t>Spa Gross Profit</t>
        </is>
      </c>
      <c r="B8" s="24" t="n">
        <v>307125</v>
      </c>
      <c r="C8" s="24" t="n">
        <v>343980</v>
      </c>
      <c r="D8" s="24" t="n">
        <v>361179</v>
      </c>
      <c r="E8" s="24" t="n">
        <v>379238</v>
      </c>
      <c r="F8" s="24" t="n">
        <v>398200</v>
      </c>
      <c r="G8" s="24" t="n">
        <v>418110</v>
      </c>
      <c r="H8" s="24" t="n">
        <v>439015</v>
      </c>
      <c r="I8" s="24" t="n">
        <v>460966</v>
      </c>
      <c r="J8" s="24" t="n">
        <v>484014</v>
      </c>
      <c r="K8" s="24" t="n">
        <v>508215</v>
      </c>
      <c r="L8" s="24" t="n">
        <v>533626</v>
      </c>
      <c r="M8" s="24" t="n">
        <v>560307</v>
      </c>
      <c r="N8" s="24" t="n">
        <v>588322</v>
      </c>
    </row>
    <row r="9">
      <c r="A9" s="6" t="inlineStr">
        <is>
          <t>Spa Payroll (allocated)</t>
        </is>
      </c>
      <c r="B9" s="10" t="n">
        <v>140400</v>
      </c>
      <c r="C9" s="10" t="n">
        <v>145314</v>
      </c>
      <c r="D9" s="10" t="n">
        <v>150400</v>
      </c>
      <c r="E9" s="10" t="n">
        <v>155664</v>
      </c>
      <c r="F9" s="10" t="n">
        <v>161112</v>
      </c>
      <c r="G9" s="10" t="n">
        <v>166751</v>
      </c>
      <c r="H9" s="10" t="n">
        <v>172587</v>
      </c>
      <c r="I9" s="10" t="n">
        <v>178628</v>
      </c>
      <c r="J9" s="10" t="n">
        <v>184880</v>
      </c>
      <c r="K9" s="10" t="n">
        <v>191351</v>
      </c>
      <c r="L9" s="10" t="n">
        <v>198048</v>
      </c>
      <c r="M9" s="10" t="n">
        <v>204980</v>
      </c>
      <c r="N9" s="10" t="n">
        <v>212154</v>
      </c>
    </row>
    <row r="10">
      <c r="A10" s="6" t="inlineStr">
        <is>
          <t>Spa OpEx (allocated)</t>
        </is>
      </c>
      <c r="B10" s="10" t="n">
        <v>42360</v>
      </c>
      <c r="C10" s="10" t="n">
        <v>43269</v>
      </c>
      <c r="D10" s="10" t="n">
        <v>44198</v>
      </c>
      <c r="E10" s="10" t="n">
        <v>45147</v>
      </c>
      <c r="F10" s="10" t="n">
        <v>46116</v>
      </c>
      <c r="G10" s="10" t="n">
        <v>47107</v>
      </c>
      <c r="H10" s="10" t="n">
        <v>48119</v>
      </c>
      <c r="I10" s="10" t="n">
        <v>49153</v>
      </c>
      <c r="J10" s="10" t="n">
        <v>50209</v>
      </c>
      <c r="K10" s="10" t="n">
        <v>51289</v>
      </c>
      <c r="L10" s="10" t="n">
        <v>52392</v>
      </c>
      <c r="M10" s="10" t="n">
        <v>53519</v>
      </c>
      <c r="N10" s="10" t="n">
        <v>54670</v>
      </c>
    </row>
    <row r="11">
      <c r="A11" s="6" t="inlineStr">
        <is>
          <t>Spa Marketing (proportional)</t>
        </is>
      </c>
      <c r="B11" s="10" t="n">
        <v>27000</v>
      </c>
      <c r="C11" s="10" t="n">
        <v>22680</v>
      </c>
      <c r="D11" s="10" t="n">
        <v>23814</v>
      </c>
      <c r="E11" s="10" t="n">
        <v>25004</v>
      </c>
      <c r="F11" s="10" t="n">
        <v>26255</v>
      </c>
      <c r="G11" s="10" t="n">
        <v>22973</v>
      </c>
      <c r="H11" s="10" t="n">
        <v>24121</v>
      </c>
      <c r="I11" s="10" t="n">
        <v>25328</v>
      </c>
      <c r="J11" s="10" t="n">
        <v>26594</v>
      </c>
      <c r="K11" s="10" t="n">
        <v>27924</v>
      </c>
      <c r="L11" s="10" t="n">
        <v>29320</v>
      </c>
      <c r="M11" s="10" t="n">
        <v>30786</v>
      </c>
      <c r="N11" s="10" t="n">
        <v>32325</v>
      </c>
    </row>
    <row r="12">
      <c r="A12" s="23" t="inlineStr">
        <is>
          <t>SPA EBITDA</t>
        </is>
      </c>
      <c r="B12" s="24" t="n">
        <v>97365</v>
      </c>
      <c r="C12" s="24" t="n">
        <v>132717</v>
      </c>
      <c r="D12" s="24" t="n">
        <v>142767</v>
      </c>
      <c r="E12" s="24" t="n">
        <v>153423</v>
      </c>
      <c r="F12" s="24" t="n">
        <v>164717</v>
      </c>
      <c r="G12" s="24" t="n">
        <v>181279</v>
      </c>
      <c r="H12" s="24" t="n">
        <v>194188</v>
      </c>
      <c r="I12" s="24" t="n">
        <v>207857</v>
      </c>
      <c r="J12" s="24" t="n">
        <v>222331</v>
      </c>
      <c r="K12" s="24" t="n">
        <v>237651</v>
      </c>
      <c r="L12" s="24" t="n">
        <v>253866</v>
      </c>
      <c r="M12" s="24" t="n">
        <v>271022</v>
      </c>
      <c r="N12" s="24" t="n">
        <v>289173</v>
      </c>
    </row>
    <row r="13">
      <c r="A13" s="6" t="inlineStr">
        <is>
          <t>Spa EBITDA Margin %</t>
        </is>
      </c>
      <c r="B13" s="11" t="n">
        <v>0.2884888888888889</v>
      </c>
      <c r="C13" s="11" t="n">
        <v>0.3511031746031746</v>
      </c>
      <c r="D13" s="11" t="n">
        <v>0.3597052154195011</v>
      </c>
      <c r="E13" s="11" t="n">
        <v>0.3681459885541518</v>
      </c>
      <c r="F13" s="11" t="n">
        <v>0.3764254471161976</v>
      </c>
      <c r="G13" s="11" t="n">
        <v>0.3945470888715256</v>
      </c>
      <c r="H13" s="11" t="n">
        <v>0.4025172355182263</v>
      </c>
      <c r="I13" s="11" t="n">
        <v>0.4103337044670283</v>
      </c>
      <c r="J13" s="11" t="n">
        <v>0.4180065578208783</v>
      </c>
      <c r="K13" s="11" t="n">
        <v>0.4255333244998012</v>
      </c>
      <c r="L13" s="11" t="n">
        <v>0.4329214429691577</v>
      </c>
      <c r="M13" s="11" t="n">
        <v>0.4401694271115861</v>
      </c>
      <c r="N13" s="11" t="n">
        <v>0.4472844883589994</v>
      </c>
    </row>
    <row r="15" ht="25" customHeight="1">
      <c r="A15" s="18" t="inlineStr">
        <is>
          <t>CLINIC BUSINESS - BASE CASE - DETAILED SPLIT</t>
        </is>
      </c>
    </row>
    <row r="16">
      <c r="A16" s="5" t="inlineStr">
        <is>
          <t>Line Item</t>
        </is>
      </c>
      <c r="B16" s="5" t="inlineStr">
        <is>
          <t>Year 1</t>
        </is>
      </c>
      <c r="C16" s="5" t="inlineStr">
        <is>
          <t>Year 2</t>
        </is>
      </c>
      <c r="D16" s="5" t="inlineStr">
        <is>
          <t>Year 3</t>
        </is>
      </c>
      <c r="E16" s="5" t="inlineStr">
        <is>
          <t>Year 4</t>
        </is>
      </c>
      <c r="F16" s="5" t="inlineStr">
        <is>
          <t>Year 5</t>
        </is>
      </c>
      <c r="G16" s="5" t="inlineStr">
        <is>
          <t>Year 6</t>
        </is>
      </c>
      <c r="H16" s="5" t="inlineStr">
        <is>
          <t>Year 7</t>
        </is>
      </c>
      <c r="I16" s="5" t="inlineStr">
        <is>
          <t>Year 8</t>
        </is>
      </c>
      <c r="J16" s="5" t="inlineStr">
        <is>
          <t>Year 9</t>
        </is>
      </c>
      <c r="K16" s="5" t="inlineStr">
        <is>
          <t>Year 10</t>
        </is>
      </c>
      <c r="L16" s="5" t="inlineStr">
        <is>
          <t>Year 11</t>
        </is>
      </c>
      <c r="M16" s="5" t="inlineStr">
        <is>
          <t>Year 12</t>
        </is>
      </c>
      <c r="N16" s="5" t="inlineStr">
        <is>
          <t>Year 13</t>
        </is>
      </c>
    </row>
    <row r="17">
      <c r="A17" s="21" t="inlineStr">
        <is>
          <t>Clinic Revenue</t>
        </is>
      </c>
      <c r="B17" s="22" t="n">
        <v>238500</v>
      </c>
      <c r="C17" s="22" t="n">
        <v>378000</v>
      </c>
      <c r="D17" s="22" t="n">
        <v>396900</v>
      </c>
      <c r="E17" s="22" t="n">
        <v>416745</v>
      </c>
      <c r="F17" s="22" t="n">
        <v>437582</v>
      </c>
      <c r="G17" s="22" t="n">
        <v>459461</v>
      </c>
      <c r="H17" s="22" t="n">
        <v>482434</v>
      </c>
      <c r="I17" s="22" t="n">
        <v>506556</v>
      </c>
      <c r="J17" s="22" t="n">
        <v>531884</v>
      </c>
      <c r="K17" s="22" t="n">
        <v>558478</v>
      </c>
      <c r="L17" s="22" t="n">
        <v>586402</v>
      </c>
      <c r="M17" s="22" t="n">
        <v>615722</v>
      </c>
      <c r="N17" s="22" t="n">
        <v>646508</v>
      </c>
    </row>
    <row r="18">
      <c r="A18" s="6" t="inlineStr">
        <is>
          <t>Clinic COGS</t>
        </is>
      </c>
      <c r="B18" s="10" t="n">
        <v>60817</v>
      </c>
      <c r="C18" s="10" t="n">
        <v>96390</v>
      </c>
      <c r="D18" s="10" t="n">
        <v>101209</v>
      </c>
      <c r="E18" s="10" t="n">
        <v>106270</v>
      </c>
      <c r="F18" s="10" t="n">
        <v>111583</v>
      </c>
      <c r="G18" s="10" t="n">
        <v>117163</v>
      </c>
      <c r="H18" s="10" t="n">
        <v>123021</v>
      </c>
      <c r="I18" s="10" t="n">
        <v>129172</v>
      </c>
      <c r="J18" s="10" t="n">
        <v>135630</v>
      </c>
      <c r="K18" s="10" t="n">
        <v>142412</v>
      </c>
      <c r="L18" s="10" t="n">
        <v>149533</v>
      </c>
      <c r="M18" s="10" t="n">
        <v>157009</v>
      </c>
      <c r="N18" s="10" t="n">
        <v>164860</v>
      </c>
    </row>
    <row r="19">
      <c r="A19" s="23" t="inlineStr">
        <is>
          <t>Clinic Gross Profit</t>
        </is>
      </c>
      <c r="B19" s="24" t="n">
        <v>177683</v>
      </c>
      <c r="C19" s="24" t="n">
        <v>281610</v>
      </c>
      <c r="D19" s="24" t="n">
        <v>295691</v>
      </c>
      <c r="E19" s="24" t="n">
        <v>310475</v>
      </c>
      <c r="F19" s="24" t="n">
        <v>325999</v>
      </c>
      <c r="G19" s="24" t="n">
        <v>342298</v>
      </c>
      <c r="H19" s="24" t="n">
        <v>359413</v>
      </c>
      <c r="I19" s="24" t="n">
        <v>377384</v>
      </c>
      <c r="J19" s="24" t="n">
        <v>396254</v>
      </c>
      <c r="K19" s="24" t="n">
        <v>416066</v>
      </c>
      <c r="L19" s="24" t="n">
        <v>436869</v>
      </c>
      <c r="M19" s="24" t="n">
        <v>458713</v>
      </c>
      <c r="N19" s="24" t="n">
        <v>481648</v>
      </c>
    </row>
    <row r="20">
      <c r="A20" s="6" t="inlineStr">
        <is>
          <t>Clinic Payroll (allocated)</t>
        </is>
      </c>
      <c r="B20" s="10" t="n">
        <v>112000</v>
      </c>
      <c r="C20" s="10" t="n">
        <v>160839</v>
      </c>
      <c r="D20" s="10" t="n">
        <v>166468</v>
      </c>
      <c r="E20" s="10" t="n">
        <v>172295</v>
      </c>
      <c r="F20" s="10" t="n">
        <v>178325</v>
      </c>
      <c r="G20" s="10" t="n">
        <v>184566</v>
      </c>
      <c r="H20" s="10" t="n">
        <v>191026</v>
      </c>
      <c r="I20" s="10" t="n">
        <v>197712</v>
      </c>
      <c r="J20" s="10" t="n">
        <v>204632</v>
      </c>
      <c r="K20" s="10" t="n">
        <v>211794</v>
      </c>
      <c r="L20" s="10" t="n">
        <v>219207</v>
      </c>
      <c r="M20" s="10" t="n">
        <v>226879</v>
      </c>
      <c r="N20" s="10" t="n">
        <v>234820</v>
      </c>
    </row>
    <row r="21">
      <c r="A21" s="6" t="inlineStr">
        <is>
          <t>Clinic OpEx (allocated)</t>
        </is>
      </c>
      <c r="B21" s="10" t="n">
        <v>42360</v>
      </c>
      <c r="C21" s="10" t="n">
        <v>43269</v>
      </c>
      <c r="D21" s="10" t="n">
        <v>44198</v>
      </c>
      <c r="E21" s="10" t="n">
        <v>45147</v>
      </c>
      <c r="F21" s="10" t="n">
        <v>46116</v>
      </c>
      <c r="G21" s="10" t="n">
        <v>47107</v>
      </c>
      <c r="H21" s="10" t="n">
        <v>48119</v>
      </c>
      <c r="I21" s="10" t="n">
        <v>49153</v>
      </c>
      <c r="J21" s="10" t="n">
        <v>50209</v>
      </c>
      <c r="K21" s="10" t="n">
        <v>51289</v>
      </c>
      <c r="L21" s="10" t="n">
        <v>52392</v>
      </c>
      <c r="M21" s="10" t="n">
        <v>53519</v>
      </c>
      <c r="N21" s="10" t="n">
        <v>54670</v>
      </c>
    </row>
    <row r="22">
      <c r="A22" s="6" t="inlineStr">
        <is>
          <t>Clinic Marketing (proportional)</t>
        </is>
      </c>
      <c r="B22" s="10" t="n">
        <v>19080</v>
      </c>
      <c r="C22" s="10" t="n">
        <v>22680</v>
      </c>
      <c r="D22" s="10" t="n">
        <v>23814</v>
      </c>
      <c r="E22" s="10" t="n">
        <v>25004</v>
      </c>
      <c r="F22" s="10" t="n">
        <v>26255</v>
      </c>
      <c r="G22" s="10" t="n">
        <v>22973</v>
      </c>
      <c r="H22" s="10" t="n">
        <v>24121</v>
      </c>
      <c r="I22" s="10" t="n">
        <v>25328</v>
      </c>
      <c r="J22" s="10" t="n">
        <v>26594</v>
      </c>
      <c r="K22" s="10" t="n">
        <v>27924</v>
      </c>
      <c r="L22" s="10" t="n">
        <v>29320</v>
      </c>
      <c r="M22" s="10" t="n">
        <v>30786</v>
      </c>
      <c r="N22" s="10" t="n">
        <v>32325</v>
      </c>
    </row>
    <row r="23">
      <c r="A23" s="23" t="inlineStr">
        <is>
          <t>CLINIC EBITDA</t>
        </is>
      </c>
      <c r="B23" s="24" t="n">
        <v>4243</v>
      </c>
      <c r="C23" s="24" t="n">
        <v>54822</v>
      </c>
      <c r="D23" s="24" t="n">
        <v>61211</v>
      </c>
      <c r="E23" s="24" t="n">
        <v>68029</v>
      </c>
      <c r="F23" s="24" t="n">
        <v>75303</v>
      </c>
      <c r="G23" s="24" t="n">
        <v>87652</v>
      </c>
      <c r="H23" s="24" t="n">
        <v>96147</v>
      </c>
      <c r="I23" s="24" t="n">
        <v>105191</v>
      </c>
      <c r="J23" s="24" t="n">
        <v>114819</v>
      </c>
      <c r="K23" s="24" t="n">
        <v>125059</v>
      </c>
      <c r="L23" s="24" t="n">
        <v>135950</v>
      </c>
      <c r="M23" s="24" t="n">
        <v>147529</v>
      </c>
      <c r="N23" s="24" t="n">
        <v>159833</v>
      </c>
    </row>
    <row r="24">
      <c r="A24" s="6" t="inlineStr">
        <is>
          <t>Clinic EBITDA Margin %</t>
        </is>
      </c>
      <c r="B24" s="11" t="n">
        <v>0.01779035639412998</v>
      </c>
      <c r="C24" s="11" t="n">
        <v>0.145031746031746</v>
      </c>
      <c r="D24" s="11" t="n">
        <v>0.154222726127488</v>
      </c>
      <c r="E24" s="11" t="n">
        <v>0.1632389110847161</v>
      </c>
      <c r="F24" s="11" t="n">
        <v>0.1720888884826158</v>
      </c>
      <c r="G24" s="11" t="n">
        <v>0.1907713603548506</v>
      </c>
      <c r="H24" s="11" t="n">
        <v>0.1992956549496926</v>
      </c>
      <c r="I24" s="11" t="n">
        <v>0.2076591729246125</v>
      </c>
      <c r="J24" s="11" t="n">
        <v>0.2158722578607365</v>
      </c>
      <c r="K24" s="11" t="n">
        <v>0.223928247845036</v>
      </c>
      <c r="L24" s="11" t="n">
        <v>0.2318375448924117</v>
      </c>
      <c r="M24" s="11" t="n">
        <v>0.2396032625113282</v>
      </c>
      <c r="N24" s="11" t="n">
        <v>0.2472250923422448</v>
      </c>
    </row>
    <row r="26" ht="25" customHeight="1">
      <c r="A26" s="18" t="inlineStr">
        <is>
          <t>RECONCILIATION CHECK</t>
        </is>
      </c>
    </row>
    <row r="27">
      <c r="A27" s="5" t="inlineStr">
        <is>
          <t>Check</t>
        </is>
      </c>
      <c r="B27" s="5" t="inlineStr">
        <is>
          <t>Year 1</t>
        </is>
      </c>
      <c r="C27" s="5" t="inlineStr">
        <is>
          <t>Year 2</t>
        </is>
      </c>
      <c r="D27" s="5" t="inlineStr">
        <is>
          <t>Year 3</t>
        </is>
      </c>
      <c r="E27" s="5" t="inlineStr">
        <is>
          <t>Year 4</t>
        </is>
      </c>
      <c r="F27" s="5" t="inlineStr">
        <is>
          <t>Year 5</t>
        </is>
      </c>
      <c r="G27" s="5" t="inlineStr">
        <is>
          <t>Year 6</t>
        </is>
      </c>
      <c r="H27" s="5" t="inlineStr">
        <is>
          <t>Year 7</t>
        </is>
      </c>
      <c r="I27" s="5" t="inlineStr">
        <is>
          <t>Year 8</t>
        </is>
      </c>
      <c r="J27" s="5" t="inlineStr">
        <is>
          <t>Year 9</t>
        </is>
      </c>
      <c r="K27" s="5" t="inlineStr">
        <is>
          <t>Year 10</t>
        </is>
      </c>
      <c r="L27" s="5" t="inlineStr">
        <is>
          <t>Year 11</t>
        </is>
      </c>
      <c r="M27" s="5" t="inlineStr">
        <is>
          <t>Year 12</t>
        </is>
      </c>
      <c r="N27" s="5" t="inlineStr">
        <is>
          <t>Year 13</t>
        </is>
      </c>
    </row>
    <row r="28">
      <c r="A28" s="6" t="inlineStr">
        <is>
          <t>Spa EBITDA + Clinic EBITDA</t>
        </is>
      </c>
      <c r="B28" s="10" t="n">
        <v>101608</v>
      </c>
      <c r="C28" s="10" t="n">
        <v>187539</v>
      </c>
      <c r="D28" s="10" t="n">
        <v>203978</v>
      </c>
      <c r="E28" s="10" t="n">
        <v>221452</v>
      </c>
      <c r="F28" s="10" t="n">
        <v>240020</v>
      </c>
      <c r="G28" s="10" t="n">
        <v>268931</v>
      </c>
      <c r="H28" s="10" t="n">
        <v>290335</v>
      </c>
      <c r="I28" s="10" t="n">
        <v>313048</v>
      </c>
      <c r="J28" s="10" t="n">
        <v>337150</v>
      </c>
      <c r="K28" s="10" t="n">
        <v>362710</v>
      </c>
      <c r="L28" s="10" t="n">
        <v>389816</v>
      </c>
      <c r="M28" s="10" t="n">
        <v>418551</v>
      </c>
      <c r="N28" s="10" t="n">
        <v>449006</v>
      </c>
    </row>
    <row r="29">
      <c r="A29" s="6" t="inlineStr">
        <is>
          <t>Consolidated EBITDA (from P&amp;L)</t>
        </is>
      </c>
      <c r="B29" s="10" t="n">
        <v>80947</v>
      </c>
      <c r="C29" s="10" t="n">
        <v>179979</v>
      </c>
      <c r="D29" s="10" t="n">
        <v>196040</v>
      </c>
      <c r="E29" s="10" t="n">
        <v>213117</v>
      </c>
      <c r="F29" s="10" t="n">
        <v>231268</v>
      </c>
      <c r="G29" s="10" t="n">
        <v>259742</v>
      </c>
      <c r="H29" s="10" t="n">
        <v>280686</v>
      </c>
      <c r="I29" s="10" t="n">
        <v>302918</v>
      </c>
      <c r="J29" s="10" t="n">
        <v>326511</v>
      </c>
      <c r="K29" s="10" t="n">
        <v>351541</v>
      </c>
      <c r="L29" s="10" t="n">
        <v>378089</v>
      </c>
      <c r="M29" s="10" t="n">
        <v>406237</v>
      </c>
      <c r="N29" s="10" t="n">
        <v>436076</v>
      </c>
    </row>
    <row r="30">
      <c r="A30" s="7" t="inlineStr">
        <is>
          <t>Difference (should be ~0)</t>
        </is>
      </c>
      <c r="B30" s="27" t="n">
        <v>20661</v>
      </c>
      <c r="C30" s="27" t="n">
        <v>7560</v>
      </c>
      <c r="D30" s="27" t="n">
        <v>7938</v>
      </c>
      <c r="E30" s="27" t="n">
        <v>8335</v>
      </c>
      <c r="F30" s="27" t="n">
        <v>8752</v>
      </c>
      <c r="G30" s="27" t="n">
        <v>9189</v>
      </c>
      <c r="H30" s="27" t="n">
        <v>9649</v>
      </c>
      <c r="I30" s="27" t="n">
        <v>10130</v>
      </c>
      <c r="J30" s="27" t="n">
        <v>10639</v>
      </c>
      <c r="K30" s="27" t="n">
        <v>11169</v>
      </c>
      <c r="L30" s="27" t="n">
        <v>11727</v>
      </c>
      <c r="M30" s="27" t="n">
        <v>12314</v>
      </c>
      <c r="N30" s="27" t="n">
        <v>12930</v>
      </c>
    </row>
    <row r="31">
      <c r="A31" s="28" t="inlineStr">
        <is>
          <t>NOTE: Small differences due to cost allocation rounding. Spa/Clinic split uses proportional allocation of shared costs (manager, reception, rent). Exact split depends on negotiated internal cost allocation methodology.</t>
        </is>
      </c>
    </row>
    <row r="34" ht="25" customHeight="1">
      <c r="A34" s="18" t="inlineStr">
        <is>
          <t>MARGIN COMPARISON ACROSS SCENARIOS (Year 5 Steady State)</t>
        </is>
      </c>
    </row>
    <row r="35">
      <c r="A35" s="5" t="inlineStr">
        <is>
          <t>Metric</t>
        </is>
      </c>
      <c r="B35" s="5" t="inlineStr">
        <is>
          <t>Bear Spa</t>
        </is>
      </c>
      <c r="C35" s="5" t="inlineStr">
        <is>
          <t>Bear Clinic</t>
        </is>
      </c>
      <c r="D35" s="5" t="inlineStr">
        <is>
          <t>Base Spa</t>
        </is>
      </c>
      <c r="E35" s="5" t="inlineStr">
        <is>
          <t>Base Clinic</t>
        </is>
      </c>
      <c r="F35" s="5" t="inlineStr">
        <is>
          <t>Bull Spa</t>
        </is>
      </c>
      <c r="G35" s="5" t="inlineStr">
        <is>
          <t>Bull Clinic</t>
        </is>
      </c>
      <c r="H35" s="5" t="inlineStr"/>
      <c r="I35" s="5" t="inlineStr"/>
      <c r="J35" s="5" t="inlineStr"/>
      <c r="K35" s="5" t="inlineStr"/>
      <c r="L35" s="5" t="inlineStr"/>
      <c r="M35" s="5" t="inlineStr"/>
      <c r="N35" s="5" t="inlineStr"/>
    </row>
    <row r="36">
      <c r="A36" s="29" t="inlineStr">
        <is>
          <t>KEY INSIGHT: The clinic business has higher COGS (nurse costs) but potentially higher margins at scale due to premium pricing. The spa is stable but margin-compressed by hotel commissions and competition.</t>
        </is>
      </c>
    </row>
  </sheetData>
  <mergeCells count="8">
    <mergeCell ref="A31:N31"/>
    <mergeCell ref="A34:N34"/>
    <mergeCell ref="A4:N4"/>
    <mergeCell ref="A26:N26"/>
    <mergeCell ref="A2:N2"/>
    <mergeCell ref="A15:N15"/>
    <mergeCell ref="A36:N36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 ht="35" customHeight="1">
      <c r="A1" s="1" t="inlineStr">
        <is>
          <t>CAPACITY MODEL - REVENUE VALIDATION AGAINST PHYSICAL CONSTRAINTS</t>
        </is>
      </c>
    </row>
    <row r="2">
      <c r="A2" s="9" t="inlineStr">
        <is>
          <t>PURPOSE: Validates that revenue assumptions are physically achievable given treatment rooms, therapist hours, utilization rates, and average treatment prices. A revenue target that exceeds physical capacity is unrealistic.</t>
        </is>
      </c>
    </row>
    <row r="4" ht="25" customHeight="1">
      <c r="A4" s="18" t="inlineStr">
        <is>
          <t>SPA CAPACITY ANALYSIS</t>
        </is>
      </c>
    </row>
    <row r="5">
      <c r="A5" s="5" t="inlineStr">
        <is>
          <t>Parameter</t>
        </is>
      </c>
      <c r="B5" s="5" t="inlineStr">
        <is>
          <t>Conservative</t>
        </is>
      </c>
      <c r="C5" s="5" t="inlineStr">
        <is>
          <t>Moderate</t>
        </is>
      </c>
      <c r="D5" s="5" t="inlineStr">
        <is>
          <t>Optimistic</t>
        </is>
      </c>
      <c r="E5" s="5" t="inlineStr">
        <is>
          <t>Notes</t>
        </is>
      </c>
    </row>
    <row r="6">
      <c r="A6" s="6" t="inlineStr">
        <is>
          <t>Treatment Rooms</t>
        </is>
      </c>
      <c r="B6" s="10" t="n">
        <v>3</v>
      </c>
      <c r="C6" s="10" t="n">
        <v>3</v>
      </c>
      <c r="D6" s="10" t="n">
        <v>3</v>
      </c>
      <c r="E6" s="6" t="inlineStr">
        <is>
          <t>Physical constraint; assumed 3 spa treatment rooms</t>
        </is>
      </c>
    </row>
    <row r="7">
      <c r="A7" s="6" t="inlineStr">
        <is>
          <t>Operating Hours/Day</t>
        </is>
      </c>
      <c r="B7" s="10" t="n">
        <v>8</v>
      </c>
      <c r="C7" s="10" t="n">
        <v>10</v>
      </c>
      <c r="D7" s="10" t="n">
        <v>12</v>
      </c>
      <c r="E7" s="6" t="inlineStr">
        <is>
          <t>8am-4pm / 8am-6pm / 8am-8pm</t>
        </is>
      </c>
    </row>
    <row r="8">
      <c r="A8" s="6" t="inlineStr">
        <is>
          <t>Operating Days/Month</t>
        </is>
      </c>
      <c r="B8" s="10" t="n">
        <v>22</v>
      </c>
      <c r="C8" s="10" t="n">
        <v>25</v>
      </c>
      <c r="D8" s="10" t="n">
        <v>26</v>
      </c>
      <c r="E8" s="6" t="inlineStr">
        <is>
          <t>5 days / 6 days / 6.5 days per week</t>
        </is>
      </c>
    </row>
    <row r="9">
      <c r="A9" s="6" t="inlineStr">
        <is>
          <t>Treatments/Room/Hour</t>
        </is>
      </c>
      <c r="B9" s="11" t="n">
        <v>0.8</v>
      </c>
      <c r="C9" s="11" t="n">
        <v>1</v>
      </c>
      <c r="D9" s="11" t="n">
        <v>1.2</v>
      </c>
      <c r="E9" s="6" t="inlineStr">
        <is>
          <t>50-min treatment = ~0.8-1.0/hr with turnover</t>
        </is>
      </c>
    </row>
    <row r="10">
      <c r="A10" s="6" t="inlineStr">
        <is>
          <t>Utilization Rate</t>
        </is>
      </c>
      <c r="B10" s="11" t="n">
        <v>0.5</v>
      </c>
      <c r="C10" s="11" t="n">
        <v>0.65</v>
      </c>
      <c r="D10" s="11" t="n">
        <v>0.8</v>
      </c>
      <c r="E10" s="6" t="inlineStr">
        <is>
          <t>% of available slots that are booked</t>
        </is>
      </c>
    </row>
    <row r="11">
      <c r="A11" s="6" t="inlineStr">
        <is>
          <t>Average Treatment Price (EUR)</t>
        </is>
      </c>
      <c r="B11" s="10" t="n">
        <v>60</v>
      </c>
      <c r="C11" s="10" t="n">
        <v>75</v>
      </c>
      <c r="D11" s="10" t="n">
        <v>90</v>
      </c>
      <c r="E11" s="6" t="inlineStr">
        <is>
          <t>Range of spa treatment pricing</t>
        </is>
      </c>
    </row>
    <row r="12">
      <c r="A12" s="23" t="inlineStr">
        <is>
          <t>THEORETICAL MAX MONTHLY REVENUE (EUR)</t>
        </is>
      </c>
      <c r="B12" s="24" t="n">
        <v>12672</v>
      </c>
      <c r="C12" s="24" t="n">
        <v>36562</v>
      </c>
      <c r="D12" s="24" t="n">
        <v>80870</v>
      </c>
      <c r="E12" s="23" t="inlineStr">
        <is>
          <t>Rooms x Hours x Days x Treats/hr x Util x Price</t>
        </is>
      </c>
    </row>
    <row r="13">
      <c r="A13" s="23" t="inlineStr">
        <is>
          <t>THEORETICAL MAX ANNUAL REVENUE (EUR)</t>
        </is>
      </c>
      <c r="B13" s="24" t="n">
        <v>152064</v>
      </c>
      <c r="C13" s="24" t="n">
        <v>438750</v>
      </c>
      <c r="D13" s="24" t="n">
        <v>970445</v>
      </c>
      <c r="E13" s="23" t="inlineStr"/>
    </row>
    <row r="15" ht="25" customHeight="1">
      <c r="A15" s="18" t="inlineStr">
        <is>
          <t>SPA REVENUE vs CAPACITY CHECK</t>
        </is>
      </c>
    </row>
    <row r="16">
      <c r="A16" s="5" t="inlineStr">
        <is>
          <t>Scenario</t>
        </is>
      </c>
      <c r="B16" s="5" t="inlineStr">
        <is>
          <t>Monthly Target</t>
        </is>
      </c>
      <c r="C16" s="5" t="inlineStr">
        <is>
          <t>Max Capacity (Moderate)</t>
        </is>
      </c>
      <c r="D16" s="5" t="inlineStr">
        <is>
          <t>Utilization Required</t>
        </is>
      </c>
      <c r="E16" s="5" t="inlineStr">
        <is>
          <t>FEASIBLE?</t>
        </is>
      </c>
    </row>
    <row r="17">
      <c r="A17" s="30" t="inlineStr">
        <is>
          <t>Bear Spa</t>
        </is>
      </c>
      <c r="B17" s="31" t="n">
        <v>25000</v>
      </c>
      <c r="C17" s="31" t="n">
        <v>36562</v>
      </c>
      <c r="D17" s="32" t="n">
        <v>0.4444444444444444</v>
      </c>
      <c r="E17" s="30" t="inlineStr">
        <is>
          <t>YES</t>
        </is>
      </c>
    </row>
    <row r="18">
      <c r="A18" s="30" t="inlineStr">
        <is>
          <t>Base Spa</t>
        </is>
      </c>
      <c r="B18" s="31" t="n">
        <v>30000</v>
      </c>
      <c r="C18" s="31" t="n">
        <v>36562</v>
      </c>
      <c r="D18" s="32" t="n">
        <v>0.5333333333333333</v>
      </c>
      <c r="E18" s="30" t="inlineStr">
        <is>
          <t>YES</t>
        </is>
      </c>
    </row>
    <row r="19">
      <c r="A19" s="30" t="inlineStr">
        <is>
          <t>Bull Spa</t>
        </is>
      </c>
      <c r="B19" s="31" t="n">
        <v>45000</v>
      </c>
      <c r="C19" s="31" t="n">
        <v>36562</v>
      </c>
      <c r="D19" s="32" t="n">
        <v>0.8</v>
      </c>
      <c r="E19" s="30" t="inlineStr">
        <is>
          <t>YES</t>
        </is>
      </c>
    </row>
    <row r="21" ht="25" customHeight="1">
      <c r="A21" s="18" t="inlineStr">
        <is>
          <t>CLINIC CAPACITY ANALYSIS</t>
        </is>
      </c>
    </row>
    <row r="22">
      <c r="A22" s="5" t="inlineStr">
        <is>
          <t>Parameter</t>
        </is>
      </c>
      <c r="B22" s="5" t="inlineStr">
        <is>
          <t>Conservative</t>
        </is>
      </c>
      <c r="C22" s="5" t="inlineStr">
        <is>
          <t>Moderate</t>
        </is>
      </c>
      <c r="D22" s="5" t="inlineStr">
        <is>
          <t>Optimistic</t>
        </is>
      </c>
      <c r="E22" s="5" t="inlineStr">
        <is>
          <t>Notes</t>
        </is>
      </c>
    </row>
    <row r="23">
      <c r="A23" s="6" t="inlineStr">
        <is>
          <t>Treatment/Procedure Rooms</t>
        </is>
      </c>
      <c r="B23" s="10" t="n">
        <v>2</v>
      </c>
      <c r="C23" s="10" t="n">
        <v>2</v>
      </c>
      <c r="D23" s="10" t="n">
        <v>2</v>
      </c>
      <c r="E23" s="6" t="inlineStr">
        <is>
          <t>1 nurse room + 1 therapist room (assumed)</t>
        </is>
      </c>
    </row>
    <row r="24">
      <c r="A24" s="6" t="inlineStr">
        <is>
          <t>Operating Hours/Day</t>
        </is>
      </c>
      <c r="B24" s="10" t="n">
        <v>8</v>
      </c>
      <c r="C24" s="10" t="n">
        <v>9</v>
      </c>
      <c r="D24" s="10" t="n">
        <v>10</v>
      </c>
      <c r="E24" s="6" t="inlineStr">
        <is>
          <t>Clinical hours; typically shorter than spa</t>
        </is>
      </c>
    </row>
    <row r="25">
      <c r="A25" s="6" t="inlineStr">
        <is>
          <t>Operating Days/Month</t>
        </is>
      </c>
      <c r="B25" s="10" t="n">
        <v>22</v>
      </c>
      <c r="C25" s="10" t="n">
        <v>24</v>
      </c>
      <c r="D25" s="10" t="n">
        <v>26</v>
      </c>
      <c r="E25" s="6" t="inlineStr">
        <is>
          <t>5-6 days/week</t>
        </is>
      </c>
    </row>
    <row r="26">
      <c r="A26" s="6" t="inlineStr">
        <is>
          <t>Procedures/Room/Hour</t>
        </is>
      </c>
      <c r="B26" s="11" t="n">
        <v>0.5</v>
      </c>
      <c r="C26" s="11" t="n">
        <v>0.75</v>
      </c>
      <c r="D26" s="11" t="n">
        <v>1</v>
      </c>
      <c r="E26" s="6" t="inlineStr">
        <is>
          <t>Medical procedures take 30-90 min</t>
        </is>
      </c>
    </row>
    <row r="27">
      <c r="A27" s="6" t="inlineStr">
        <is>
          <t>Utilization Rate</t>
        </is>
      </c>
      <c r="B27" s="11" t="n">
        <v>0.4</v>
      </c>
      <c r="C27" s="11" t="n">
        <v>0.55</v>
      </c>
      <c r="D27" s="11" t="n">
        <v>0.7</v>
      </c>
      <c r="E27" s="6" t="inlineStr">
        <is>
          <t>Clinic ramp-up typically slower</t>
        </is>
      </c>
    </row>
    <row r="28">
      <c r="A28" s="6" t="inlineStr">
        <is>
          <t>Average Procedure Price (EUR)</t>
        </is>
      </c>
      <c r="B28" s="10" t="n">
        <v>120</v>
      </c>
      <c r="C28" s="10" t="n">
        <v>180</v>
      </c>
      <c r="D28" s="10" t="n">
        <v>250</v>
      </c>
      <c r="E28" s="6" t="inlineStr">
        <is>
          <t>Medical aesthetics pricing range</t>
        </is>
      </c>
    </row>
    <row r="29">
      <c r="A29" s="23" t="inlineStr">
        <is>
          <t>THEORETICAL MAX MONTHLY REVENUE (EUR)</t>
        </is>
      </c>
      <c r="B29" s="24" t="n">
        <v>8448</v>
      </c>
      <c r="C29" s="24" t="n">
        <v>32076</v>
      </c>
      <c r="D29" s="24" t="n">
        <v>91000</v>
      </c>
      <c r="E29" s="23" t="inlineStr">
        <is>
          <t>Rooms x Hours x Days x Procs/hr x Util x Price</t>
        </is>
      </c>
    </row>
    <row r="30">
      <c r="A30" s="23" t="inlineStr">
        <is>
          <t>THEORETICAL MAX ANNUAL REVENUE (EUR)</t>
        </is>
      </c>
      <c r="B30" s="24" t="n">
        <v>101376</v>
      </c>
      <c r="C30" s="24" t="n">
        <v>384912</v>
      </c>
      <c r="D30" s="24" t="n">
        <v>1092000</v>
      </c>
      <c r="E30" s="23" t="inlineStr"/>
    </row>
    <row r="32" ht="25" customHeight="1">
      <c r="A32" s="18" t="inlineStr">
        <is>
          <t>CLINIC REVENUE vs CAPACITY CHECK</t>
        </is>
      </c>
    </row>
    <row r="33">
      <c r="A33" s="5" t="inlineStr">
        <is>
          <t>Scenario</t>
        </is>
      </c>
      <c r="B33" s="5" t="inlineStr">
        <is>
          <t>Monthly Target</t>
        </is>
      </c>
      <c r="C33" s="5" t="inlineStr">
        <is>
          <t>Max Capacity (Moderate)</t>
        </is>
      </c>
      <c r="D33" s="5" t="inlineStr">
        <is>
          <t>Utilization Required</t>
        </is>
      </c>
      <c r="E33" s="5" t="inlineStr">
        <is>
          <t>FEASIBLE?</t>
        </is>
      </c>
    </row>
    <row r="34">
      <c r="A34" s="30" t="inlineStr">
        <is>
          <t>Bear Clinic</t>
        </is>
      </c>
      <c r="B34" s="31" t="n">
        <v>20000</v>
      </c>
      <c r="C34" s="31" t="n">
        <v>32076</v>
      </c>
      <c r="D34" s="32" t="n">
        <v>0.3429355281207133</v>
      </c>
      <c r="E34" s="30" t="inlineStr">
        <is>
          <t>YES</t>
        </is>
      </c>
    </row>
    <row r="35">
      <c r="A35" s="30" t="inlineStr">
        <is>
          <t>Base Clinic</t>
        </is>
      </c>
      <c r="B35" s="31" t="n">
        <v>30000</v>
      </c>
      <c r="C35" s="31" t="n">
        <v>32076</v>
      </c>
      <c r="D35" s="32" t="n">
        <v>0.5144032921810699</v>
      </c>
      <c r="E35" s="30" t="inlineStr">
        <is>
          <t>YES</t>
        </is>
      </c>
    </row>
    <row r="36">
      <c r="A36" s="33" t="inlineStr">
        <is>
          <t>Bull Clinic</t>
        </is>
      </c>
      <c r="B36" s="34" t="n">
        <v>55000</v>
      </c>
      <c r="C36" s="34" t="n">
        <v>32076</v>
      </c>
      <c r="D36" s="35" t="n">
        <v>0.9430727023319616</v>
      </c>
      <c r="E36" s="33" t="inlineStr">
        <is>
          <t>REVIEW ASSUMPTIONS</t>
        </is>
      </c>
    </row>
    <row r="38" ht="25" customHeight="1">
      <c r="A38" s="18" t="inlineStr">
        <is>
          <t>COMBINED CAPACITY VERDICT</t>
        </is>
      </c>
    </row>
    <row r="39">
      <c r="A39" s="5" t="inlineStr">
        <is>
          <t>Scenario</t>
        </is>
      </c>
      <c r="B39" s="5" t="inlineStr">
        <is>
          <t>Total Monthly Target</t>
        </is>
      </c>
      <c r="C39" s="5" t="inlineStr">
        <is>
          <t>Combined Max (Moderate)</t>
        </is>
      </c>
      <c r="D39" s="5" t="inlineStr">
        <is>
          <t>% of Max Capacity</t>
        </is>
      </c>
      <c r="E39" s="5" t="inlineStr">
        <is>
          <t>Verdict</t>
        </is>
      </c>
    </row>
    <row r="40">
      <c r="A40" s="30" t="inlineStr">
        <is>
          <t>Bear</t>
        </is>
      </c>
      <c r="B40" s="31" t="n">
        <v>45000</v>
      </c>
      <c r="C40" s="31" t="n">
        <v>68638</v>
      </c>
      <c r="D40" s="32" t="n">
        <v>0.6556087327083197</v>
      </c>
      <c r="E40" s="30" t="inlineStr">
        <is>
          <t>COMFORTABLE - Room for growth</t>
        </is>
      </c>
    </row>
    <row r="41">
      <c r="A41" s="33" t="inlineStr">
        <is>
          <t>Base</t>
        </is>
      </c>
      <c r="B41" s="34" t="n">
        <v>60000</v>
      </c>
      <c r="C41" s="34" t="n">
        <v>68638</v>
      </c>
      <c r="D41" s="35" t="n">
        <v>0.8741449769444263</v>
      </c>
      <c r="E41" s="33" t="inlineStr">
        <is>
          <t>STRETCH - Requires high utilization</t>
        </is>
      </c>
    </row>
    <row r="42">
      <c r="A42" s="33" t="inlineStr">
        <is>
          <t>Bull</t>
        </is>
      </c>
      <c r="B42" s="34" t="n">
        <v>100000</v>
      </c>
      <c r="C42" s="34" t="n">
        <v>68638</v>
      </c>
      <c r="D42" s="35" t="n">
        <v>1.456908294907377</v>
      </c>
      <c r="E42" s="33" t="inlineStr">
        <is>
          <t>EXCEEDS CAPACITY - Review assumptions</t>
        </is>
      </c>
    </row>
    <row r="44" ht="25" customHeight="1">
      <c r="A44" s="18" t="inlineStr">
        <is>
          <t>THERAPIST PRODUCTIVITY CHECK</t>
        </is>
      </c>
    </row>
    <row r="45">
      <c r="A45" s="5" t="inlineStr">
        <is>
          <t>Metric</t>
        </is>
      </c>
      <c r="B45" s="5" t="inlineStr">
        <is>
          <t>Value</t>
        </is>
      </c>
      <c r="C45" s="5" t="inlineStr"/>
      <c r="D45" s="5" t="inlineStr"/>
      <c r="E45" s="5" t="inlineStr">
        <is>
          <t>Notes</t>
        </is>
      </c>
    </row>
    <row r="46">
      <c r="A46" s="6" t="inlineStr">
        <is>
          <t>Spa Therapists</t>
        </is>
      </c>
      <c r="B46" s="10" t="n">
        <v>5</v>
      </c>
      <c r="C46" s="6" t="inlineStr"/>
      <c r="D46" s="6" t="inlineStr"/>
      <c r="E46" s="6" t="inlineStr">
        <is>
          <t>Full-time therapists</t>
        </is>
      </c>
    </row>
    <row r="47">
      <c r="A47" s="6" t="inlineStr">
        <is>
          <t>Revenue per Therapist per Month (Base)</t>
        </is>
      </c>
      <c r="B47" s="10" t="n">
        <v>6000</v>
      </c>
      <c r="C47" s="6" t="inlineStr"/>
      <c r="D47" s="6" t="inlineStr"/>
      <c r="E47" s="6" t="inlineStr">
        <is>
          <t>EUR 30K / 5 therapists</t>
        </is>
      </c>
    </row>
    <row r="48">
      <c r="A48" s="6" t="inlineStr">
        <is>
          <t>Revenue per Therapist per Day</t>
        </is>
      </c>
      <c r="B48" s="10" t="n">
        <v>273</v>
      </c>
      <c r="C48" s="6" t="inlineStr"/>
      <c r="D48" s="6" t="inlineStr"/>
      <c r="E48" s="6" t="inlineStr">
        <is>
          <t>EUR 6K / 22 working days</t>
        </is>
      </c>
    </row>
    <row r="49">
      <c r="A49" s="6" t="inlineStr">
        <is>
          <t>Treatments per Therapist per Day (at EUR 75 avg)</t>
        </is>
      </c>
      <c r="B49" s="10" t="n">
        <v>3.6</v>
      </c>
      <c r="C49" s="6" t="inlineStr"/>
      <c r="D49" s="6" t="inlineStr"/>
      <c r="E49" s="6" t="inlineStr">
        <is>
          <t>273 / 75 = ~3.6 treatments</t>
        </is>
      </c>
    </row>
    <row r="50">
      <c r="A50" s="6" t="inlineStr">
        <is>
          <t>Industry Benchmark: 4-6 treatments/day</t>
        </is>
      </c>
      <c r="B50" s="6" t="inlineStr">
        <is>
          <t>4-6</t>
        </is>
      </c>
      <c r="C50" s="6" t="inlineStr"/>
      <c r="D50" s="6" t="inlineStr"/>
      <c r="E50" s="6" t="inlineStr">
        <is>
          <t>Well within range at Base case</t>
        </is>
      </c>
    </row>
  </sheetData>
  <mergeCells count="8">
    <mergeCell ref="A21:E21"/>
    <mergeCell ref="A4:E4"/>
    <mergeCell ref="A38:E38"/>
    <mergeCell ref="A2:E2"/>
    <mergeCell ref="A15:E15"/>
    <mergeCell ref="A1:E1"/>
    <mergeCell ref="A32:E32"/>
    <mergeCell ref="A44:E4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50"/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5" customHeight="1">
      <c r="A1" s="1" t="inlineStr">
        <is>
          <t>FREE CASH FLOW BUILD: EBITDA TO UNLEVERED FREE CASH FLOW (UFCF)</t>
        </is>
      </c>
    </row>
    <row r="2">
      <c r="A2" s="36" t="inlineStr">
        <is>
          <t>PURPOSE: v1.0 used EBITDA as a proxy for cash flow in the DCF. This is incorrect. True cash flow must deduct maintenance capex, taxes, and working capital changes. This sheet shows the UFCF conversion.</t>
        </is>
      </c>
    </row>
    <row r="4" ht="25" customHeight="1">
      <c r="A4" s="18" t="inlineStr">
        <is>
          <t>UFCF BUILD - BEAR CASE</t>
        </is>
      </c>
    </row>
    <row r="5">
      <c r="A5" s="5" t="inlineStr">
        <is>
          <t>Line Item</t>
        </is>
      </c>
      <c r="B5" s="5" t="inlineStr">
        <is>
          <t>Year 1</t>
        </is>
      </c>
      <c r="C5" s="5" t="inlineStr">
        <is>
          <t>Year 2</t>
        </is>
      </c>
      <c r="D5" s="5" t="inlineStr">
        <is>
          <t>Year 3</t>
        </is>
      </c>
      <c r="E5" s="5" t="inlineStr">
        <is>
          <t>Year 4</t>
        </is>
      </c>
      <c r="F5" s="5" t="inlineStr">
        <is>
          <t>Year 5</t>
        </is>
      </c>
      <c r="G5" s="5" t="inlineStr">
        <is>
          <t>Year 6</t>
        </is>
      </c>
      <c r="H5" s="5" t="inlineStr">
        <is>
          <t>Year 7</t>
        </is>
      </c>
      <c r="I5" s="5" t="inlineStr">
        <is>
          <t>Year 8</t>
        </is>
      </c>
      <c r="J5" s="5" t="inlineStr">
        <is>
          <t>Year 9</t>
        </is>
      </c>
      <c r="K5" s="5" t="inlineStr">
        <is>
          <t>Year 10</t>
        </is>
      </c>
      <c r="L5" s="5" t="inlineStr">
        <is>
          <t>Year 11</t>
        </is>
      </c>
      <c r="M5" s="5" t="inlineStr">
        <is>
          <t>Year 12</t>
        </is>
      </c>
      <c r="N5" s="5" t="inlineStr">
        <is>
          <t>Year 13</t>
        </is>
      </c>
    </row>
    <row r="6">
      <c r="A6" s="21" t="inlineStr">
        <is>
          <t>EBITDA</t>
        </is>
      </c>
      <c r="B6" s="22" t="n">
        <v>-6750</v>
      </c>
      <c r="C6" s="22" t="n">
        <v>63744</v>
      </c>
      <c r="D6" s="22" t="n">
        <v>73667</v>
      </c>
      <c r="E6" s="22" t="n">
        <v>84288</v>
      </c>
      <c r="F6" s="22" t="n">
        <v>95648</v>
      </c>
      <c r="G6" s="22" t="n">
        <v>114683</v>
      </c>
      <c r="H6" s="22" t="n">
        <v>127999</v>
      </c>
      <c r="I6" s="22" t="n">
        <v>142210</v>
      </c>
      <c r="J6" s="22" t="n">
        <v>157367</v>
      </c>
      <c r="K6" s="22" t="n">
        <v>173525</v>
      </c>
      <c r="L6" s="22" t="n">
        <v>190743</v>
      </c>
      <c r="M6" s="22" t="n">
        <v>209079</v>
      </c>
      <c r="N6" s="22" t="n">
        <v>228600</v>
      </c>
    </row>
    <row r="7">
      <c r="A7" s="6" t="inlineStr">
        <is>
          <t>(-) Maintenance Capex</t>
        </is>
      </c>
      <c r="B7" s="10" t="n">
        <v>-9000</v>
      </c>
      <c r="C7" s="10" t="n">
        <v>-9225</v>
      </c>
      <c r="D7" s="10" t="n">
        <v>-9456</v>
      </c>
      <c r="E7" s="10" t="n">
        <v>-9692</v>
      </c>
      <c r="F7" s="10" t="n">
        <v>-9934</v>
      </c>
      <c r="G7" s="10" t="n">
        <v>-10183</v>
      </c>
      <c r="H7" s="10" t="n">
        <v>-10437</v>
      </c>
      <c r="I7" s="10" t="n">
        <v>-10698</v>
      </c>
      <c r="J7" s="10" t="n">
        <v>-10966</v>
      </c>
      <c r="K7" s="10" t="n">
        <v>-11240</v>
      </c>
      <c r="L7" s="10" t="n">
        <v>-11521</v>
      </c>
      <c r="M7" s="10" t="n">
        <v>-11809</v>
      </c>
      <c r="N7" s="10" t="n">
        <v>-12104</v>
      </c>
    </row>
    <row r="8">
      <c r="A8" s="6" t="inlineStr">
        <is>
          <t>(-) Tax (5% effective)</t>
        </is>
      </c>
      <c r="B8" s="10" t="n">
        <v>0</v>
      </c>
      <c r="C8" s="10" t="n">
        <v>-1687</v>
      </c>
      <c r="D8" s="10" t="n">
        <v>-2183</v>
      </c>
      <c r="E8" s="10" t="n">
        <v>-2714</v>
      </c>
      <c r="F8" s="10" t="n">
        <v>-3282</v>
      </c>
      <c r="G8" s="10" t="n">
        <v>-4234</v>
      </c>
      <c r="H8" s="10" t="n">
        <v>-4900</v>
      </c>
      <c r="I8" s="10" t="n">
        <v>-5611</v>
      </c>
      <c r="J8" s="10" t="n">
        <v>-6368</v>
      </c>
      <c r="K8" s="10" t="n">
        <v>-7176</v>
      </c>
      <c r="L8" s="10" t="n">
        <v>-8037</v>
      </c>
      <c r="M8" s="10" t="n">
        <v>-8954</v>
      </c>
      <c r="N8" s="10" t="n">
        <v>-9930</v>
      </c>
    </row>
    <row r="9">
      <c r="A9" s="6" t="inlineStr">
        <is>
          <t>(-) Working Capital Change</t>
        </is>
      </c>
      <c r="B9" s="10" t="n">
        <v>-22012</v>
      </c>
      <c r="C9" s="10" t="n">
        <v>-6338</v>
      </c>
      <c r="D9" s="10" t="n">
        <v>-1418</v>
      </c>
      <c r="E9" s="10" t="n">
        <v>-1488</v>
      </c>
      <c r="F9" s="10" t="n">
        <v>-1563</v>
      </c>
      <c r="G9" s="10" t="n">
        <v>-1641</v>
      </c>
      <c r="H9" s="10" t="n">
        <v>-1723</v>
      </c>
      <c r="I9" s="10" t="n">
        <v>-1809</v>
      </c>
      <c r="J9" s="10" t="n">
        <v>-1899</v>
      </c>
      <c r="K9" s="10" t="n">
        <v>-1995</v>
      </c>
      <c r="L9" s="10" t="n">
        <v>-2094</v>
      </c>
      <c r="M9" s="10" t="n">
        <v>-2199</v>
      </c>
      <c r="N9" s="10" t="n">
        <v>-2309</v>
      </c>
    </row>
    <row r="10">
      <c r="A10" s="23" t="inlineStr">
        <is>
          <t>UNLEVERED FREE CASH FLOW</t>
        </is>
      </c>
      <c r="B10" s="24" t="n">
        <v>-37762</v>
      </c>
      <c r="C10" s="24" t="n">
        <v>46494</v>
      </c>
      <c r="D10" s="24" t="n">
        <v>60610</v>
      </c>
      <c r="E10" s="24" t="n">
        <v>70394</v>
      </c>
      <c r="F10" s="24" t="n">
        <v>80869</v>
      </c>
      <c r="G10" s="24" t="n">
        <v>98625</v>
      </c>
      <c r="H10" s="24" t="n">
        <v>110939</v>
      </c>
      <c r="I10" s="24" t="n">
        <v>124092</v>
      </c>
      <c r="J10" s="24" t="n">
        <v>138135</v>
      </c>
      <c r="K10" s="24" t="n">
        <v>153115</v>
      </c>
      <c r="L10" s="24" t="n">
        <v>169091</v>
      </c>
      <c r="M10" s="24" t="n">
        <v>186118</v>
      </c>
      <c r="N10" s="24" t="n">
        <v>204257</v>
      </c>
    </row>
    <row r="11">
      <c r="A11" s="19" t="inlineStr">
        <is>
          <t>UFCF / EBITDA Conversion %</t>
        </is>
      </c>
      <c r="B11" s="20" t="n">
        <v>0</v>
      </c>
      <c r="C11" s="20" t="n">
        <v>0.7293862951807228</v>
      </c>
      <c r="D11" s="20" t="n">
        <v>0.8227573516036771</v>
      </c>
      <c r="E11" s="20" t="n">
        <v>0.8351617727656728</v>
      </c>
      <c r="F11" s="20" t="n">
        <v>0.8454847994948195</v>
      </c>
      <c r="G11" s="20" t="n">
        <v>0.8599790123856706</v>
      </c>
      <c r="H11" s="20" t="n">
        <v>0.8667151251926418</v>
      </c>
      <c r="I11" s="20" t="n">
        <v>0.8725961031528907</v>
      </c>
      <c r="J11" s="20" t="n">
        <v>0.8777877067700258</v>
      </c>
      <c r="K11" s="20" t="n">
        <v>0.8823779534210165</v>
      </c>
      <c r="L11" s="20" t="n">
        <v>0.8864882731087916</v>
      </c>
      <c r="M11" s="20" t="n">
        <v>0.8901785304851205</v>
      </c>
      <c r="N11" s="20" t="n">
        <v>0.8935114481086169</v>
      </c>
    </row>
    <row r="12">
      <c r="A12" s="6" t="inlineStr">
        <is>
          <t>Cumulative UFCF (after Investment)</t>
        </is>
      </c>
      <c r="B12" s="10" t="n">
        <v>-537762</v>
      </c>
      <c r="C12" s="10" t="n">
        <v>-491268</v>
      </c>
      <c r="D12" s="10" t="n">
        <v>-430658</v>
      </c>
      <c r="E12" s="10" t="n">
        <v>-360264</v>
      </c>
      <c r="F12" s="10" t="n">
        <v>-279395</v>
      </c>
      <c r="G12" s="10" t="n">
        <v>-180770</v>
      </c>
      <c r="H12" s="10" t="n">
        <v>-69831</v>
      </c>
      <c r="I12" s="10" t="n">
        <v>54261</v>
      </c>
      <c r="J12" s="10" t="n">
        <v>192396</v>
      </c>
      <c r="K12" s="10" t="n">
        <v>345511</v>
      </c>
      <c r="L12" s="10" t="n">
        <v>514602</v>
      </c>
      <c r="M12" s="10" t="n">
        <v>700720</v>
      </c>
      <c r="N12" s="10" t="n">
        <v>904977</v>
      </c>
    </row>
    <row r="14" ht="25" customHeight="1">
      <c r="A14" s="18" t="inlineStr">
        <is>
          <t>UFCF BUILD - BASE CASE</t>
        </is>
      </c>
    </row>
    <row r="15">
      <c r="A15" s="5" t="inlineStr">
        <is>
          <t>Line Item</t>
        </is>
      </c>
      <c r="B15" s="5" t="inlineStr">
        <is>
          <t>Year 1</t>
        </is>
      </c>
      <c r="C15" s="5" t="inlineStr">
        <is>
          <t>Year 2</t>
        </is>
      </c>
      <c r="D15" s="5" t="inlineStr">
        <is>
          <t>Year 3</t>
        </is>
      </c>
      <c r="E15" s="5" t="inlineStr">
        <is>
          <t>Year 4</t>
        </is>
      </c>
      <c r="F15" s="5" t="inlineStr">
        <is>
          <t>Year 5</t>
        </is>
      </c>
      <c r="G15" s="5" t="inlineStr">
        <is>
          <t>Year 6</t>
        </is>
      </c>
      <c r="H15" s="5" t="inlineStr">
        <is>
          <t>Year 7</t>
        </is>
      </c>
      <c r="I15" s="5" t="inlineStr">
        <is>
          <t>Year 8</t>
        </is>
      </c>
      <c r="J15" s="5" t="inlineStr">
        <is>
          <t>Year 9</t>
        </is>
      </c>
      <c r="K15" s="5" t="inlineStr">
        <is>
          <t>Year 10</t>
        </is>
      </c>
      <c r="L15" s="5" t="inlineStr">
        <is>
          <t>Year 11</t>
        </is>
      </c>
      <c r="M15" s="5" t="inlineStr">
        <is>
          <t>Year 12</t>
        </is>
      </c>
      <c r="N15" s="5" t="inlineStr">
        <is>
          <t>Year 13</t>
        </is>
      </c>
    </row>
    <row r="16">
      <c r="A16" s="21" t="inlineStr">
        <is>
          <t>EBITDA</t>
        </is>
      </c>
      <c r="B16" s="22" t="n">
        <v>80947</v>
      </c>
      <c r="C16" s="22" t="n">
        <v>179979</v>
      </c>
      <c r="D16" s="22" t="n">
        <v>196040</v>
      </c>
      <c r="E16" s="22" t="n">
        <v>213117</v>
      </c>
      <c r="F16" s="22" t="n">
        <v>231268</v>
      </c>
      <c r="G16" s="22" t="n">
        <v>259742</v>
      </c>
      <c r="H16" s="22" t="n">
        <v>280686</v>
      </c>
      <c r="I16" s="22" t="n">
        <v>302918</v>
      </c>
      <c r="J16" s="22" t="n">
        <v>326511</v>
      </c>
      <c r="K16" s="22" t="n">
        <v>351541</v>
      </c>
      <c r="L16" s="22" t="n">
        <v>378089</v>
      </c>
      <c r="M16" s="22" t="n">
        <v>406237</v>
      </c>
      <c r="N16" s="22" t="n">
        <v>436076</v>
      </c>
    </row>
    <row r="17">
      <c r="A17" s="6" t="inlineStr">
        <is>
          <t>(-) Maintenance Capex</t>
        </is>
      </c>
      <c r="B17" s="10" t="n">
        <v>-9000</v>
      </c>
      <c r="C17" s="10" t="n">
        <v>-9225</v>
      </c>
      <c r="D17" s="10" t="n">
        <v>-9456</v>
      </c>
      <c r="E17" s="10" t="n">
        <v>-9692</v>
      </c>
      <c r="F17" s="10" t="n">
        <v>-9934</v>
      </c>
      <c r="G17" s="10" t="n">
        <v>-10183</v>
      </c>
      <c r="H17" s="10" t="n">
        <v>-10437</v>
      </c>
      <c r="I17" s="10" t="n">
        <v>-10698</v>
      </c>
      <c r="J17" s="10" t="n">
        <v>-10966</v>
      </c>
      <c r="K17" s="10" t="n">
        <v>-11240</v>
      </c>
      <c r="L17" s="10" t="n">
        <v>-11521</v>
      </c>
      <c r="M17" s="10" t="n">
        <v>-11809</v>
      </c>
      <c r="N17" s="10" t="n">
        <v>-12104</v>
      </c>
    </row>
    <row r="18">
      <c r="A18" s="6" t="inlineStr">
        <is>
          <t>(-) Tax (5% effective)</t>
        </is>
      </c>
      <c r="B18" s="10" t="n">
        <v>-2547</v>
      </c>
      <c r="C18" s="10" t="n">
        <v>-7499</v>
      </c>
      <c r="D18" s="10" t="n">
        <v>-8302</v>
      </c>
      <c r="E18" s="10" t="n">
        <v>-9156</v>
      </c>
      <c r="F18" s="10" t="n">
        <v>-10063</v>
      </c>
      <c r="G18" s="10" t="n">
        <v>-11487</v>
      </c>
      <c r="H18" s="10" t="n">
        <v>-12534</v>
      </c>
      <c r="I18" s="10" t="n">
        <v>-13646</v>
      </c>
      <c r="J18" s="10" t="n">
        <v>-14826</v>
      </c>
      <c r="K18" s="10" t="n">
        <v>-16077</v>
      </c>
      <c r="L18" s="10" t="n">
        <v>-17404</v>
      </c>
      <c r="M18" s="10" t="n">
        <v>-18812</v>
      </c>
      <c r="N18" s="10" t="n">
        <v>-20304</v>
      </c>
    </row>
    <row r="19">
      <c r="A19" s="6" t="inlineStr">
        <is>
          <t>(-) Working Capital Change</t>
        </is>
      </c>
      <c r="B19" s="10" t="n">
        <v>-28800</v>
      </c>
      <c r="C19" s="10" t="n">
        <v>-9000</v>
      </c>
      <c r="D19" s="10" t="n">
        <v>-1890</v>
      </c>
      <c r="E19" s="10" t="n">
        <v>-1985</v>
      </c>
      <c r="F19" s="10" t="n">
        <v>-2083</v>
      </c>
      <c r="G19" s="10" t="n">
        <v>-2188</v>
      </c>
      <c r="H19" s="10" t="n">
        <v>-2297</v>
      </c>
      <c r="I19" s="10" t="n">
        <v>-2413</v>
      </c>
      <c r="J19" s="10" t="n">
        <v>-2532</v>
      </c>
      <c r="K19" s="10" t="n">
        <v>-2660</v>
      </c>
      <c r="L19" s="10" t="n">
        <v>-2792</v>
      </c>
      <c r="M19" s="10" t="n">
        <v>-2932</v>
      </c>
      <c r="N19" s="10" t="n">
        <v>-3079</v>
      </c>
    </row>
    <row r="20">
      <c r="A20" s="23" t="inlineStr">
        <is>
          <t>UNLEVERED FREE CASH FLOW</t>
        </is>
      </c>
      <c r="B20" s="24" t="n">
        <v>40600</v>
      </c>
      <c r="C20" s="24" t="n">
        <v>154255</v>
      </c>
      <c r="D20" s="24" t="n">
        <v>176392</v>
      </c>
      <c r="E20" s="24" t="n">
        <v>192284</v>
      </c>
      <c r="F20" s="24" t="n">
        <v>209187</v>
      </c>
      <c r="G20" s="24" t="n">
        <v>235885</v>
      </c>
      <c r="H20" s="24" t="n">
        <v>255418</v>
      </c>
      <c r="I20" s="24" t="n">
        <v>276161</v>
      </c>
      <c r="J20" s="24" t="n">
        <v>298188</v>
      </c>
      <c r="K20" s="24" t="n">
        <v>321565</v>
      </c>
      <c r="L20" s="24" t="n">
        <v>346372</v>
      </c>
      <c r="M20" s="24" t="n">
        <v>372684</v>
      </c>
      <c r="N20" s="24" t="n">
        <v>400589</v>
      </c>
    </row>
    <row r="21">
      <c r="A21" s="19" t="inlineStr">
        <is>
          <t>UFCF / EBITDA Conversion %</t>
        </is>
      </c>
      <c r="B21" s="20" t="n">
        <v>0.5015627509357975</v>
      </c>
      <c r="C21" s="20" t="n">
        <v>0.8570722139805199</v>
      </c>
      <c r="D21" s="20" t="n">
        <v>0.8997769558864086</v>
      </c>
      <c r="E21" s="20" t="n">
        <v>0.9022474061490631</v>
      </c>
      <c r="F21" s="20" t="n">
        <v>0.9045235090753343</v>
      </c>
      <c r="G21" s="20" t="n">
        <v>0.9081500360210822</v>
      </c>
      <c r="H21" s="20" t="n">
        <v>0.9099784787422359</v>
      </c>
      <c r="I21" s="20" t="n">
        <v>0.9116690570168556</v>
      </c>
      <c r="J21" s="20" t="n">
        <v>0.9132548119304587</v>
      </c>
      <c r="K21" s="20" t="n">
        <v>0.9147284479424409</v>
      </c>
      <c r="L21" s="20" t="n">
        <v>0.9161130654105097</v>
      </c>
      <c r="M21" s="20" t="n">
        <v>0.9174048008649293</v>
      </c>
      <c r="N21" s="20" t="n">
        <v>0.9186221149681494</v>
      </c>
    </row>
    <row r="22">
      <c r="A22" s="6" t="inlineStr">
        <is>
          <t>Cumulative UFCF (after Investment)</t>
        </is>
      </c>
      <c r="B22" s="10" t="n">
        <v>-459400</v>
      </c>
      <c r="C22" s="10" t="n">
        <v>-305145</v>
      </c>
      <c r="D22" s="10" t="n">
        <v>-128753</v>
      </c>
      <c r="E22" s="10" t="n">
        <v>63531</v>
      </c>
      <c r="F22" s="10" t="n">
        <v>272718</v>
      </c>
      <c r="G22" s="10" t="n">
        <v>508603</v>
      </c>
      <c r="H22" s="10" t="n">
        <v>764021</v>
      </c>
      <c r="I22" s="10" t="n">
        <v>1040182</v>
      </c>
      <c r="J22" s="10" t="n">
        <v>1338370</v>
      </c>
      <c r="K22" s="10" t="n">
        <v>1659935</v>
      </c>
      <c r="L22" s="10" t="n">
        <v>2006307</v>
      </c>
      <c r="M22" s="10" t="n">
        <v>2378991</v>
      </c>
      <c r="N22" s="10" t="n">
        <v>2779580</v>
      </c>
    </row>
    <row r="24" ht="25" customHeight="1">
      <c r="A24" s="18" t="inlineStr">
        <is>
          <t>UFCF BUILD - BULL CASE</t>
        </is>
      </c>
    </row>
    <row r="25">
      <c r="A25" s="5" t="inlineStr">
        <is>
          <t>Line Item</t>
        </is>
      </c>
      <c r="B25" s="5" t="inlineStr">
        <is>
          <t>Year 1</t>
        </is>
      </c>
      <c r="C25" s="5" t="inlineStr">
        <is>
          <t>Year 2</t>
        </is>
      </c>
      <c r="D25" s="5" t="inlineStr">
        <is>
          <t>Year 3</t>
        </is>
      </c>
      <c r="E25" s="5" t="inlineStr">
        <is>
          <t>Year 4</t>
        </is>
      </c>
      <c r="F25" s="5" t="inlineStr">
        <is>
          <t>Year 5</t>
        </is>
      </c>
      <c r="G25" s="5" t="inlineStr">
        <is>
          <t>Year 6</t>
        </is>
      </c>
      <c r="H25" s="5" t="inlineStr">
        <is>
          <t>Year 7</t>
        </is>
      </c>
      <c r="I25" s="5" t="inlineStr">
        <is>
          <t>Year 8</t>
        </is>
      </c>
      <c r="J25" s="5" t="inlineStr">
        <is>
          <t>Year 9</t>
        </is>
      </c>
      <c r="K25" s="5" t="inlineStr">
        <is>
          <t>Year 10</t>
        </is>
      </c>
      <c r="L25" s="5" t="inlineStr">
        <is>
          <t>Year 11</t>
        </is>
      </c>
      <c r="M25" s="5" t="inlineStr">
        <is>
          <t>Year 12</t>
        </is>
      </c>
      <c r="N25" s="5" t="inlineStr">
        <is>
          <t>Year 13</t>
        </is>
      </c>
    </row>
    <row r="26">
      <c r="A26" s="21" t="inlineStr">
        <is>
          <t>EBITDA</t>
        </is>
      </c>
      <c r="B26" s="22" t="n">
        <v>333753</v>
      </c>
      <c r="C26" s="22" t="n">
        <v>529629</v>
      </c>
      <c r="D26" s="22" t="n">
        <v>563498</v>
      </c>
      <c r="E26" s="22" t="n">
        <v>599286</v>
      </c>
      <c r="F26" s="22" t="n">
        <v>637094</v>
      </c>
      <c r="G26" s="22" t="n">
        <v>692348</v>
      </c>
      <c r="H26" s="22" t="n">
        <v>735296</v>
      </c>
      <c r="I26" s="22" t="n">
        <v>780646</v>
      </c>
      <c r="J26" s="22" t="n">
        <v>828526</v>
      </c>
      <c r="K26" s="22" t="n">
        <v>879072</v>
      </c>
      <c r="L26" s="22" t="n">
        <v>932425</v>
      </c>
      <c r="M26" s="22" t="n">
        <v>988735</v>
      </c>
      <c r="N26" s="22" t="n">
        <v>1048158</v>
      </c>
    </row>
    <row r="27">
      <c r="A27" s="6" t="inlineStr">
        <is>
          <t>(-) Maintenance Capex</t>
        </is>
      </c>
      <c r="B27" s="10" t="n">
        <v>-9000</v>
      </c>
      <c r="C27" s="10" t="n">
        <v>-9225</v>
      </c>
      <c r="D27" s="10" t="n">
        <v>-9456</v>
      </c>
      <c r="E27" s="10" t="n">
        <v>-9692</v>
      </c>
      <c r="F27" s="10" t="n">
        <v>-9934</v>
      </c>
      <c r="G27" s="10" t="n">
        <v>-10183</v>
      </c>
      <c r="H27" s="10" t="n">
        <v>-10437</v>
      </c>
      <c r="I27" s="10" t="n">
        <v>-10698</v>
      </c>
      <c r="J27" s="10" t="n">
        <v>-10966</v>
      </c>
      <c r="K27" s="10" t="n">
        <v>-11240</v>
      </c>
      <c r="L27" s="10" t="n">
        <v>-11521</v>
      </c>
      <c r="M27" s="10" t="n">
        <v>-11809</v>
      </c>
      <c r="N27" s="10" t="n">
        <v>-12104</v>
      </c>
    </row>
    <row r="28">
      <c r="A28" s="6" t="inlineStr">
        <is>
          <t>(-) Tax (5% effective)</t>
        </is>
      </c>
      <c r="B28" s="10" t="n">
        <v>-15188</v>
      </c>
      <c r="C28" s="10" t="n">
        <v>-24981</v>
      </c>
      <c r="D28" s="10" t="n">
        <v>-26675</v>
      </c>
      <c r="E28" s="10" t="n">
        <v>-28464</v>
      </c>
      <c r="F28" s="10" t="n">
        <v>-30355</v>
      </c>
      <c r="G28" s="10" t="n">
        <v>-33117</v>
      </c>
      <c r="H28" s="10" t="n">
        <v>-35265</v>
      </c>
      <c r="I28" s="10" t="n">
        <v>-37532</v>
      </c>
      <c r="J28" s="10" t="n">
        <v>-39926</v>
      </c>
      <c r="K28" s="10" t="n">
        <v>-42454</v>
      </c>
      <c r="L28" s="10" t="n">
        <v>-45121</v>
      </c>
      <c r="M28" s="10" t="n">
        <v>-47937</v>
      </c>
      <c r="N28" s="10" t="n">
        <v>-50908</v>
      </c>
    </row>
    <row r="29">
      <c r="A29" s="6" t="inlineStr">
        <is>
          <t>(-) Working Capital Change</t>
        </is>
      </c>
      <c r="B29" s="10" t="n">
        <v>-47175</v>
      </c>
      <c r="C29" s="10" t="n">
        <v>-15825</v>
      </c>
      <c r="D29" s="10" t="n">
        <v>-3150</v>
      </c>
      <c r="E29" s="10" t="n">
        <v>-3308</v>
      </c>
      <c r="F29" s="10" t="n">
        <v>-3472</v>
      </c>
      <c r="G29" s="10" t="n">
        <v>-3647</v>
      </c>
      <c r="H29" s="10" t="n">
        <v>-3829</v>
      </c>
      <c r="I29" s="10" t="n">
        <v>-4020</v>
      </c>
      <c r="J29" s="10" t="n">
        <v>-4221</v>
      </c>
      <c r="K29" s="10" t="n">
        <v>-4433</v>
      </c>
      <c r="L29" s="10" t="n">
        <v>-4654</v>
      </c>
      <c r="M29" s="10" t="n">
        <v>-4886</v>
      </c>
      <c r="N29" s="10" t="n">
        <v>-5131</v>
      </c>
    </row>
    <row r="30">
      <c r="A30" s="23" t="inlineStr">
        <is>
          <t>UNLEVERED FREE CASH FLOW</t>
        </is>
      </c>
      <c r="B30" s="24" t="n">
        <v>262390</v>
      </c>
      <c r="C30" s="24" t="n">
        <v>479598</v>
      </c>
      <c r="D30" s="24" t="n">
        <v>524218</v>
      </c>
      <c r="E30" s="24" t="n">
        <v>557822</v>
      </c>
      <c r="F30" s="24" t="n">
        <v>593333</v>
      </c>
      <c r="G30" s="24" t="n">
        <v>645401</v>
      </c>
      <c r="H30" s="24" t="n">
        <v>685764</v>
      </c>
      <c r="I30" s="24" t="n">
        <v>728396</v>
      </c>
      <c r="J30" s="24" t="n">
        <v>773413</v>
      </c>
      <c r="K30" s="24" t="n">
        <v>820945</v>
      </c>
      <c r="L30" s="24" t="n">
        <v>871129</v>
      </c>
      <c r="M30" s="24" t="n">
        <v>924103</v>
      </c>
      <c r="N30" s="24" t="n">
        <v>980015</v>
      </c>
    </row>
    <row r="31">
      <c r="A31" s="19" t="inlineStr">
        <is>
          <t>UFCF / EBITDA Conversion %</t>
        </is>
      </c>
      <c r="B31" s="20" t="n">
        <v>0.7861801991292963</v>
      </c>
      <c r="C31" s="20" t="n">
        <v>0.9055357618257308</v>
      </c>
      <c r="D31" s="20" t="n">
        <v>0.9302922021652524</v>
      </c>
      <c r="E31" s="20" t="n">
        <v>0.9308116221093212</v>
      </c>
      <c r="F31" s="20" t="n">
        <v>0.9313112588022963</v>
      </c>
      <c r="G31" s="20" t="n">
        <v>0.9321918155746464</v>
      </c>
      <c r="H31" s="20" t="n">
        <v>0.932637052836323</v>
      </c>
      <c r="I31" s="20" t="n">
        <v>0.9330686448768806</v>
      </c>
      <c r="J31" s="20" t="n">
        <v>0.9334805850141761</v>
      </c>
      <c r="K31" s="20" t="n">
        <v>0.9338770636088157</v>
      </c>
      <c r="L31" s="20" t="n">
        <v>0.9342618852006206</v>
      </c>
      <c r="M31" s="20" t="n">
        <v>0.934632058128342</v>
      </c>
      <c r="N31" s="20" t="n">
        <v>0.9349878650693861</v>
      </c>
    </row>
    <row r="32">
      <c r="A32" s="6" t="inlineStr">
        <is>
          <t>Cumulative UFCF (after Investment)</t>
        </is>
      </c>
      <c r="B32" s="10" t="n">
        <v>-237610</v>
      </c>
      <c r="C32" s="10" t="n">
        <v>241988</v>
      </c>
      <c r="D32" s="10" t="n">
        <v>766206</v>
      </c>
      <c r="E32" s="10" t="n">
        <v>1324028</v>
      </c>
      <c r="F32" s="10" t="n">
        <v>1917361</v>
      </c>
      <c r="G32" s="10" t="n">
        <v>2562762</v>
      </c>
      <c r="H32" s="10" t="n">
        <v>3248526</v>
      </c>
      <c r="I32" s="10" t="n">
        <v>3976922</v>
      </c>
      <c r="J32" s="10" t="n">
        <v>4750335</v>
      </c>
      <c r="K32" s="10" t="n">
        <v>5571280</v>
      </c>
      <c r="L32" s="10" t="n">
        <v>6442409</v>
      </c>
      <c r="M32" s="10" t="n">
        <v>7366512</v>
      </c>
      <c r="N32" s="10" t="n">
        <v>8346527</v>
      </c>
    </row>
    <row r="34" ht="25" customHeight="1">
      <c r="A34" s="18" t="inlineStr">
        <is>
          <t>WORKING CAPITAL ASSUMPTIONS</t>
        </is>
      </c>
    </row>
    <row r="35">
      <c r="A35" s="5" t="inlineStr">
        <is>
          <t>Component</t>
        </is>
      </c>
      <c r="B35" s="5" t="inlineStr">
        <is>
          <t>Days/Rate</t>
        </is>
      </c>
      <c r="C35" s="5" t="inlineStr">
        <is>
          <t>Basis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</row>
    <row r="36">
      <c r="A36" s="6" t="inlineStr">
        <is>
          <t>Accounts Receivable Days</t>
        </is>
      </c>
      <c r="B36" s="6" t="n">
        <v>15</v>
      </c>
      <c r="C36" s="6" t="inlineStr">
        <is>
          <t>Some corporate/hotel clients pay net 15-30</t>
        </is>
      </c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</row>
    <row r="37">
      <c r="A37" s="6" t="inlineStr">
        <is>
          <t>Inventory (Consumables)</t>
        </is>
      </c>
      <c r="B37" s="6" t="inlineStr">
        <is>
          <t>5 days</t>
        </is>
      </c>
      <c r="C37" s="6" t="inlineStr">
        <is>
          <t>Low inventory; consumables ordered frequently</t>
        </is>
      </c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</row>
    <row r="38">
      <c r="A38" s="6" t="inlineStr">
        <is>
          <t>Accounts Payable Days</t>
        </is>
      </c>
      <c r="B38" s="6" t="n">
        <v>30</v>
      </c>
      <c r="C38" s="6" t="inlineStr">
        <is>
          <t>Standard supplier terms</t>
        </is>
      </c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</row>
    <row r="39">
      <c r="A39" s="6" t="inlineStr">
        <is>
          <t>Net Working Capital</t>
        </is>
      </c>
      <c r="B39" s="6" t="inlineStr">
        <is>
          <t>~5% of Revenue</t>
        </is>
      </c>
      <c r="C39" s="6" t="inlineStr">
        <is>
          <t>Conservative estimate; could be lower</t>
        </is>
      </c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</row>
    <row r="40">
      <c r="A40" s="6" t="inlineStr">
        <is>
          <t>Minimum Cash Reserve</t>
        </is>
      </c>
      <c r="B40" s="6" t="inlineStr">
        <is>
          <t>EUR 50-75K</t>
        </is>
      </c>
      <c r="C40" s="6" t="inlineStr">
        <is>
          <t>Cover 2-3 months of operating shortfall during ramp</t>
        </is>
      </c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</row>
  </sheetData>
  <mergeCells count="6">
    <mergeCell ref="A34:N34"/>
    <mergeCell ref="A4:N4"/>
    <mergeCell ref="A24:N24"/>
    <mergeCell ref="A2:N2"/>
    <mergeCell ref="A14:N14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5" customHeight="1">
      <c r="A1" s="1" t="inlineStr">
        <is>
          <t>DCF VALUATION MODEL (FIXED: 18% Discount Rate, Uses UFCF not EBITDA)</t>
        </is>
      </c>
    </row>
    <row r="2">
      <c r="A2" s="14" t="inlineStr">
        <is>
          <t>CRITICAL FIXES: (1) Discount rate now consistent at 18% (v1.0 had 15% in assumptions, 20% in DCF). (2) Uses Unlevered FCF, not EBITDA. (3) Terminal value scenarios added. (4) Sensitivity at 15/18/20/25%.</t>
        </is>
      </c>
    </row>
    <row r="4" ht="25" customHeight="1">
      <c r="A4" s="18" t="inlineStr">
        <is>
          <t>DCF - BEAR CASE (Primary Rate: 18%)</t>
        </is>
      </c>
    </row>
    <row r="5">
      <c r="A5" s="5" t="inlineStr">
        <is>
          <t>Year</t>
        </is>
      </c>
      <c r="B5" s="5" t="inlineStr">
        <is>
          <t>Year 0</t>
        </is>
      </c>
      <c r="C5" s="5" t="inlineStr">
        <is>
          <t>Year 1</t>
        </is>
      </c>
      <c r="D5" s="5" t="inlineStr">
        <is>
          <t>Year 2</t>
        </is>
      </c>
      <c r="E5" s="5" t="inlineStr">
        <is>
          <t>Year 3</t>
        </is>
      </c>
      <c r="F5" s="5" t="inlineStr">
        <is>
          <t>Year 4</t>
        </is>
      </c>
      <c r="G5" s="5" t="inlineStr">
        <is>
          <t>Year 5</t>
        </is>
      </c>
      <c r="H5" s="5" t="inlineStr">
        <is>
          <t>Year 6</t>
        </is>
      </c>
      <c r="I5" s="5" t="inlineStr">
        <is>
          <t>Year 7</t>
        </is>
      </c>
      <c r="J5" s="5" t="inlineStr">
        <is>
          <t>Year 8</t>
        </is>
      </c>
      <c r="K5" s="5" t="inlineStr">
        <is>
          <t>Year 9</t>
        </is>
      </c>
      <c r="L5" s="5" t="inlineStr">
        <is>
          <t>Year 10</t>
        </is>
      </c>
      <c r="M5" s="5" t="inlineStr">
        <is>
          <t>Year 11</t>
        </is>
      </c>
      <c r="N5" s="5" t="inlineStr">
        <is>
          <t>Year 12</t>
        </is>
      </c>
      <c r="O5" s="5" t="inlineStr">
        <is>
          <t>Year 13</t>
        </is>
      </c>
    </row>
    <row r="6">
      <c r="A6" s="6" t="inlineStr">
        <is>
          <t>Cash Flow (UFCF)</t>
        </is>
      </c>
      <c r="B6" s="10" t="n">
        <v>-500000</v>
      </c>
      <c r="C6" s="10" t="n">
        <v>-37762</v>
      </c>
      <c r="D6" s="10" t="n">
        <v>46494</v>
      </c>
      <c r="E6" s="10" t="n">
        <v>60610</v>
      </c>
      <c r="F6" s="10" t="n">
        <v>70394</v>
      </c>
      <c r="G6" s="10" t="n">
        <v>80869</v>
      </c>
      <c r="H6" s="10" t="n">
        <v>98625</v>
      </c>
      <c r="I6" s="10" t="n">
        <v>110939</v>
      </c>
      <c r="J6" s="10" t="n">
        <v>124092</v>
      </c>
      <c r="K6" s="10" t="n">
        <v>138135</v>
      </c>
      <c r="L6" s="10" t="n">
        <v>153115</v>
      </c>
      <c r="M6" s="10" t="n">
        <v>169091</v>
      </c>
      <c r="N6" s="10" t="n">
        <v>186118</v>
      </c>
      <c r="O6" s="10" t="n">
        <v>204257</v>
      </c>
    </row>
    <row r="7">
      <c r="A7" s="6" t="inlineStr">
        <is>
          <t>Discount Factor (18%)</t>
        </is>
      </c>
      <c r="B7" s="37" t="n">
        <v>1</v>
      </c>
      <c r="C7" s="37" t="n">
        <v>0.8474576271186441</v>
      </c>
      <c r="D7" s="37" t="n">
        <v>0.7181844297615628</v>
      </c>
      <c r="E7" s="37" t="n">
        <v>0.6086308726792905</v>
      </c>
      <c r="F7" s="37" t="n">
        <v>0.5157888751519412</v>
      </c>
      <c r="G7" s="37" t="n">
        <v>0.4371092162304586</v>
      </c>
      <c r="H7" s="37" t="n">
        <v>0.3704315391783548</v>
      </c>
      <c r="I7" s="37" t="n">
        <v>0.3139250332019956</v>
      </c>
      <c r="J7" s="37" t="n">
        <v>0.2660381637305048</v>
      </c>
      <c r="K7" s="37" t="n">
        <v>0.2254560709580549</v>
      </c>
      <c r="L7" s="37" t="n">
        <v>0.1910644669136059</v>
      </c>
      <c r="M7" s="37" t="n">
        <v>0.1619190397572931</v>
      </c>
      <c r="N7" s="37" t="n">
        <v>0.137219525218045</v>
      </c>
      <c r="O7" s="37" t="n">
        <v>0.1162877332356314</v>
      </c>
    </row>
    <row r="8">
      <c r="A8" s="6" t="inlineStr">
        <is>
          <t>Present Value</t>
        </is>
      </c>
      <c r="B8" s="10" t="n">
        <v>-500000</v>
      </c>
      <c r="C8" s="10" t="n">
        <v>-32002</v>
      </c>
      <c r="D8" s="10" t="n">
        <v>33391</v>
      </c>
      <c r="E8" s="10" t="n">
        <v>36889</v>
      </c>
      <c r="F8" s="10" t="n">
        <v>36308</v>
      </c>
      <c r="G8" s="10" t="n">
        <v>35349</v>
      </c>
      <c r="H8" s="10" t="n">
        <v>36534</v>
      </c>
      <c r="I8" s="10" t="n">
        <v>34827</v>
      </c>
      <c r="J8" s="10" t="n">
        <v>33013</v>
      </c>
      <c r="K8" s="10" t="n">
        <v>31143</v>
      </c>
      <c r="L8" s="10" t="n">
        <v>29255</v>
      </c>
      <c r="M8" s="10" t="n">
        <v>27379</v>
      </c>
      <c r="N8" s="10" t="n">
        <v>25539</v>
      </c>
      <c r="O8" s="10" t="n">
        <v>23753</v>
      </c>
    </row>
    <row r="9">
      <c r="A9" s="23" t="inlineStr">
        <is>
          <t>NET PRESENT VALUE (NPV)</t>
        </is>
      </c>
      <c r="B9" s="24" t="n">
        <v>-148622</v>
      </c>
      <c r="C9" s="23" t="inlineStr"/>
      <c r="D9" s="23" t="inlineStr"/>
      <c r="E9" s="23" t="inlineStr"/>
      <c r="F9" s="23" t="inlineStr"/>
      <c r="G9" s="23" t="inlineStr"/>
      <c r="H9" s="23" t="inlineStr"/>
      <c r="I9" s="23" t="inlineStr"/>
      <c r="J9" s="23" t="inlineStr"/>
      <c r="K9" s="23" t="inlineStr"/>
      <c r="L9" s="23" t="inlineStr"/>
      <c r="M9" s="23" t="inlineStr"/>
      <c r="N9" s="23" t="inlineStr"/>
    </row>
    <row r="11" ht="25" customHeight="1">
      <c r="A11" s="18" t="inlineStr">
        <is>
          <t>TERMINAL VALUE SCENARIOS - BEAR CASE</t>
        </is>
      </c>
    </row>
    <row r="12">
      <c r="A12" s="5" t="inlineStr">
        <is>
          <t>Terminal Value Scenario</t>
        </is>
      </c>
      <c r="B12" s="5" t="inlineStr">
        <is>
          <t>Terminal Value (EUR)</t>
        </is>
      </c>
      <c r="C12" s="5" t="inlineStr">
        <is>
          <t>PV of Terminal Value</t>
        </is>
      </c>
      <c r="D12" s="5" t="inlineStr">
        <is>
          <t>Total Enterprise Value</t>
        </is>
      </c>
      <c r="E12" s="5" t="inlineStr">
        <is>
          <t>vs Zero TV</t>
        </is>
      </c>
      <c r="F12" s="5" t="inlineStr"/>
    </row>
    <row r="13">
      <c r="A13" s="6" t="inlineStr">
        <is>
          <t>Walk-Away (EUR 0)</t>
        </is>
      </c>
      <c r="B13" s="10" t="n">
        <v>0</v>
      </c>
      <c r="C13" s="10" t="n">
        <v>0</v>
      </c>
      <c r="D13" s="10" t="n">
        <v>-148622</v>
      </c>
      <c r="E13" s="6" t="inlineStr">
        <is>
          <t>Base case</t>
        </is>
      </c>
      <c r="F13" s="6" t="inlineStr"/>
    </row>
    <row r="14">
      <c r="A14" s="6" t="inlineStr">
        <is>
          <t>Liquidation (Equipment Salvage)</t>
        </is>
      </c>
      <c r="B14" s="10" t="n">
        <v>75000</v>
      </c>
      <c r="C14" s="10" t="n">
        <v>8722</v>
      </c>
      <c r="D14" s="10" t="n">
        <v>-139900</v>
      </c>
      <c r="E14" s="6" t="inlineStr">
        <is>
          <t>+EUR 8,722</t>
        </is>
      </c>
      <c r="F14" s="6" t="inlineStr"/>
    </row>
    <row r="15">
      <c r="A15" s="7" t="inlineStr">
        <is>
          <t>Renewal (4x Year 13 EBITDA)</t>
        </is>
      </c>
      <c r="B15" s="27" t="n">
        <v>914401</v>
      </c>
      <c r="C15" s="27" t="n">
        <v>106334</v>
      </c>
      <c r="D15" s="27" t="n">
        <v>-42288</v>
      </c>
      <c r="E15" s="7" t="inlineStr">
        <is>
          <t>+EUR 106,334</t>
        </is>
      </c>
      <c r="F15" s="7" t="inlineStr"/>
    </row>
    <row r="17" ht="25" customHeight="1">
      <c r="A17" s="18" t="inlineStr">
        <is>
          <t>DISCOUNT RATE SENSITIVITY - BEAR CASE</t>
        </is>
      </c>
    </row>
    <row r="18">
      <c r="A18" s="5" t="inlineStr">
        <is>
          <t>Discount Rate</t>
        </is>
      </c>
      <c r="B18" s="5" t="inlineStr">
        <is>
          <t>NPV (Zero TV)</t>
        </is>
      </c>
      <c r="C18" s="5" t="inlineStr">
        <is>
          <t>NPV (Liquidation TV)</t>
        </is>
      </c>
      <c r="D18" s="5" t="inlineStr">
        <is>
          <t>NPV (Renewal TV)</t>
        </is>
      </c>
      <c r="E18" s="5" t="inlineStr">
        <is>
          <t>Implied EV/EBITDA (Yr1)</t>
        </is>
      </c>
      <c r="F18" s="5" t="inlineStr"/>
    </row>
    <row r="19">
      <c r="A19" s="11" t="inlineStr">
        <is>
          <t>15%</t>
        </is>
      </c>
      <c r="B19" s="10" t="n">
        <v>-71020</v>
      </c>
      <c r="C19" s="10" t="n">
        <v>-58831</v>
      </c>
      <c r="D19" s="10" t="n">
        <v>77595</v>
      </c>
      <c r="E19" s="10" t="n">
        <v>0</v>
      </c>
      <c r="F19" s="6" t="inlineStr"/>
    </row>
    <row r="20">
      <c r="A20" s="38" t="inlineStr">
        <is>
          <t>18%</t>
        </is>
      </c>
      <c r="B20" s="39" t="n">
        <v>-148622</v>
      </c>
      <c r="C20" s="39" t="n">
        <v>-139900</v>
      </c>
      <c r="D20" s="39" t="n">
        <v>-42288</v>
      </c>
      <c r="E20" s="39" t="n">
        <v>0</v>
      </c>
      <c r="F20" s="40" t="inlineStr"/>
    </row>
    <row r="21">
      <c r="A21" s="11" t="inlineStr">
        <is>
          <t>20%</t>
        </is>
      </c>
      <c r="B21" s="10" t="n">
        <v>-190585</v>
      </c>
      <c r="C21" s="10" t="n">
        <v>-183575</v>
      </c>
      <c r="D21" s="10" t="n">
        <v>-105122</v>
      </c>
      <c r="E21" s="10" t="n">
        <v>0</v>
      </c>
      <c r="F21" s="6" t="inlineStr"/>
    </row>
    <row r="22">
      <c r="A22" s="11" t="inlineStr">
        <is>
          <t>25%</t>
        </is>
      </c>
      <c r="B22" s="10" t="n">
        <v>-270625</v>
      </c>
      <c r="C22" s="10" t="n">
        <v>-266502</v>
      </c>
      <c r="D22" s="10" t="n">
        <v>-220355</v>
      </c>
      <c r="E22" s="10" t="n">
        <v>0</v>
      </c>
      <c r="F22" s="6" t="inlineStr"/>
    </row>
    <row r="24" ht="25" customHeight="1">
      <c r="A24" s="18" t="inlineStr">
        <is>
          <t>DCF - BASE CASE (Primary Rate: 18%)</t>
        </is>
      </c>
    </row>
    <row r="25">
      <c r="A25" s="5" t="inlineStr">
        <is>
          <t>Year</t>
        </is>
      </c>
      <c r="B25" s="5" t="inlineStr">
        <is>
          <t>Year 0</t>
        </is>
      </c>
      <c r="C25" s="5" t="inlineStr">
        <is>
          <t>Year 1</t>
        </is>
      </c>
      <c r="D25" s="5" t="inlineStr">
        <is>
          <t>Year 2</t>
        </is>
      </c>
      <c r="E25" s="5" t="inlineStr">
        <is>
          <t>Year 3</t>
        </is>
      </c>
      <c r="F25" s="5" t="inlineStr">
        <is>
          <t>Year 4</t>
        </is>
      </c>
      <c r="G25" s="5" t="inlineStr">
        <is>
          <t>Year 5</t>
        </is>
      </c>
      <c r="H25" s="5" t="inlineStr">
        <is>
          <t>Year 6</t>
        </is>
      </c>
      <c r="I25" s="5" t="inlineStr">
        <is>
          <t>Year 7</t>
        </is>
      </c>
      <c r="J25" s="5" t="inlineStr">
        <is>
          <t>Year 8</t>
        </is>
      </c>
      <c r="K25" s="5" t="inlineStr">
        <is>
          <t>Year 9</t>
        </is>
      </c>
      <c r="L25" s="5" t="inlineStr">
        <is>
          <t>Year 10</t>
        </is>
      </c>
      <c r="M25" s="5" t="inlineStr">
        <is>
          <t>Year 11</t>
        </is>
      </c>
      <c r="N25" s="5" t="inlineStr">
        <is>
          <t>Year 12</t>
        </is>
      </c>
      <c r="O25" s="5" t="inlineStr">
        <is>
          <t>Year 13</t>
        </is>
      </c>
    </row>
    <row r="26">
      <c r="A26" s="6" t="inlineStr">
        <is>
          <t>Cash Flow (UFCF)</t>
        </is>
      </c>
      <c r="B26" s="10" t="n">
        <v>-500000</v>
      </c>
      <c r="C26" s="10" t="n">
        <v>40600</v>
      </c>
      <c r="D26" s="10" t="n">
        <v>154255</v>
      </c>
      <c r="E26" s="10" t="n">
        <v>176392</v>
      </c>
      <c r="F26" s="10" t="n">
        <v>192284</v>
      </c>
      <c r="G26" s="10" t="n">
        <v>209187</v>
      </c>
      <c r="H26" s="10" t="n">
        <v>235885</v>
      </c>
      <c r="I26" s="10" t="n">
        <v>255418</v>
      </c>
      <c r="J26" s="10" t="n">
        <v>276161</v>
      </c>
      <c r="K26" s="10" t="n">
        <v>298188</v>
      </c>
      <c r="L26" s="10" t="n">
        <v>321565</v>
      </c>
      <c r="M26" s="10" t="n">
        <v>346372</v>
      </c>
      <c r="N26" s="10" t="n">
        <v>372684</v>
      </c>
      <c r="O26" s="10" t="n">
        <v>400589</v>
      </c>
    </row>
    <row r="27">
      <c r="A27" s="6" t="inlineStr">
        <is>
          <t>Discount Factor (18%)</t>
        </is>
      </c>
      <c r="B27" s="37" t="n">
        <v>1</v>
      </c>
      <c r="C27" s="37" t="n">
        <v>0.8474576271186441</v>
      </c>
      <c r="D27" s="37" t="n">
        <v>0.7181844297615628</v>
      </c>
      <c r="E27" s="37" t="n">
        <v>0.6086308726792905</v>
      </c>
      <c r="F27" s="37" t="n">
        <v>0.5157888751519412</v>
      </c>
      <c r="G27" s="37" t="n">
        <v>0.4371092162304586</v>
      </c>
      <c r="H27" s="37" t="n">
        <v>0.3704315391783548</v>
      </c>
      <c r="I27" s="37" t="n">
        <v>0.3139250332019956</v>
      </c>
      <c r="J27" s="37" t="n">
        <v>0.2660381637305048</v>
      </c>
      <c r="K27" s="37" t="n">
        <v>0.2254560709580549</v>
      </c>
      <c r="L27" s="37" t="n">
        <v>0.1910644669136059</v>
      </c>
      <c r="M27" s="37" t="n">
        <v>0.1619190397572931</v>
      </c>
      <c r="N27" s="37" t="n">
        <v>0.137219525218045</v>
      </c>
      <c r="O27" s="37" t="n">
        <v>0.1162877332356314</v>
      </c>
    </row>
    <row r="28">
      <c r="A28" s="6" t="inlineStr">
        <is>
          <t>Present Value</t>
        </is>
      </c>
      <c r="B28" s="10" t="n">
        <v>-500000</v>
      </c>
      <c r="C28" s="10" t="n">
        <v>34407</v>
      </c>
      <c r="D28" s="10" t="n">
        <v>110784</v>
      </c>
      <c r="E28" s="10" t="n">
        <v>107358</v>
      </c>
      <c r="F28" s="10" t="n">
        <v>99178</v>
      </c>
      <c r="G28" s="10" t="n">
        <v>91438</v>
      </c>
      <c r="H28" s="10" t="n">
        <v>87379</v>
      </c>
      <c r="I28" s="10" t="n">
        <v>80182</v>
      </c>
      <c r="J28" s="10" t="n">
        <v>73469</v>
      </c>
      <c r="K28" s="10" t="n">
        <v>67228</v>
      </c>
      <c r="L28" s="10" t="n">
        <v>61440</v>
      </c>
      <c r="M28" s="10" t="n">
        <v>56084</v>
      </c>
      <c r="N28" s="10" t="n">
        <v>51140</v>
      </c>
      <c r="O28" s="10" t="n">
        <v>46584</v>
      </c>
    </row>
    <row r="29">
      <c r="A29" s="23" t="inlineStr">
        <is>
          <t>NET PRESENT VALUE (NPV)</t>
        </is>
      </c>
      <c r="B29" s="24" t="n">
        <v>466669</v>
      </c>
      <c r="C29" s="23" t="inlineStr"/>
      <c r="D29" s="23" t="inlineStr"/>
      <c r="E29" s="23" t="inlineStr"/>
      <c r="F29" s="23" t="inlineStr"/>
      <c r="G29" s="23" t="inlineStr"/>
      <c r="H29" s="23" t="inlineStr"/>
      <c r="I29" s="23" t="inlineStr"/>
      <c r="J29" s="23" t="inlineStr"/>
      <c r="K29" s="23" t="inlineStr"/>
      <c r="L29" s="23" t="inlineStr"/>
      <c r="M29" s="23" t="inlineStr"/>
      <c r="N29" s="23" t="inlineStr"/>
    </row>
    <row r="31" ht="25" customHeight="1">
      <c r="A31" s="18" t="inlineStr">
        <is>
          <t>TERMINAL VALUE SCENARIOS - BASE CASE</t>
        </is>
      </c>
    </row>
    <row r="32">
      <c r="A32" s="5" t="inlineStr">
        <is>
          <t>Terminal Value Scenario</t>
        </is>
      </c>
      <c r="B32" s="5" t="inlineStr">
        <is>
          <t>Terminal Value (EUR)</t>
        </is>
      </c>
      <c r="C32" s="5" t="inlineStr">
        <is>
          <t>PV of Terminal Value</t>
        </is>
      </c>
      <c r="D32" s="5" t="inlineStr">
        <is>
          <t>Total Enterprise Value</t>
        </is>
      </c>
      <c r="E32" s="5" t="inlineStr">
        <is>
          <t>vs Zero TV</t>
        </is>
      </c>
      <c r="F32" s="5" t="inlineStr"/>
    </row>
    <row r="33">
      <c r="A33" s="6" t="inlineStr">
        <is>
          <t>Walk-Away (EUR 0)</t>
        </is>
      </c>
      <c r="B33" s="10" t="n">
        <v>0</v>
      </c>
      <c r="C33" s="10" t="n">
        <v>0</v>
      </c>
      <c r="D33" s="10" t="n">
        <v>466669</v>
      </c>
      <c r="E33" s="6" t="inlineStr">
        <is>
          <t>Base case</t>
        </is>
      </c>
      <c r="F33" s="6" t="inlineStr"/>
    </row>
    <row r="34">
      <c r="A34" s="6" t="inlineStr">
        <is>
          <t>Liquidation (Equipment Salvage)</t>
        </is>
      </c>
      <c r="B34" s="10" t="n">
        <v>75000</v>
      </c>
      <c r="C34" s="10" t="n">
        <v>8722</v>
      </c>
      <c r="D34" s="10" t="n">
        <v>475391</v>
      </c>
      <c r="E34" s="6" t="inlineStr">
        <is>
          <t>+EUR 8,722</t>
        </is>
      </c>
      <c r="F34" s="6" t="inlineStr"/>
    </row>
    <row r="35">
      <c r="A35" s="7" t="inlineStr">
        <is>
          <t>Renewal (4x Year 13 EBITDA)</t>
        </is>
      </c>
      <c r="B35" s="27" t="n">
        <v>1744304</v>
      </c>
      <c r="C35" s="27" t="n">
        <v>202841</v>
      </c>
      <c r="D35" s="27" t="n">
        <v>669510</v>
      </c>
      <c r="E35" s="7" t="inlineStr">
        <is>
          <t>+EUR 202,841</t>
        </is>
      </c>
      <c r="F35" s="7" t="inlineStr"/>
    </row>
    <row r="37" ht="25" customHeight="1">
      <c r="A37" s="18" t="inlineStr">
        <is>
          <t>DISCOUNT RATE SENSITIVITY - BASE CASE</t>
        </is>
      </c>
    </row>
    <row r="38">
      <c r="A38" s="5" t="inlineStr">
        <is>
          <t>Discount Rate</t>
        </is>
      </c>
      <c r="B38" s="5" t="inlineStr">
        <is>
          <t>NPV (Zero TV)</t>
        </is>
      </c>
      <c r="C38" s="5" t="inlineStr">
        <is>
          <t>NPV (Liquidation TV)</t>
        </is>
      </c>
      <c r="D38" s="5" t="inlineStr">
        <is>
          <t>NPV (Renewal TV)</t>
        </is>
      </c>
      <c r="E38" s="5" t="inlineStr">
        <is>
          <t>Implied EV/EBITDA (Yr1)</t>
        </is>
      </c>
      <c r="F38" s="5" t="inlineStr"/>
    </row>
    <row r="39">
      <c r="A39" s="11" t="inlineStr">
        <is>
          <t>15%</t>
        </is>
      </c>
      <c r="B39" s="10" t="n">
        <v>643608</v>
      </c>
      <c r="C39" s="10" t="n">
        <v>655798</v>
      </c>
      <c r="D39" s="10" t="n">
        <v>927106</v>
      </c>
      <c r="E39" s="10" t="n">
        <v>14.1</v>
      </c>
      <c r="F39" s="6" t="inlineStr"/>
    </row>
    <row r="40">
      <c r="A40" s="38" t="inlineStr">
        <is>
          <t>18%</t>
        </is>
      </c>
      <c r="B40" s="39" t="n">
        <v>466669</v>
      </c>
      <c r="C40" s="39" t="n">
        <v>475391</v>
      </c>
      <c r="D40" s="39" t="n">
        <v>669511</v>
      </c>
      <c r="E40" s="39" t="n">
        <v>11.9</v>
      </c>
      <c r="F40" s="40" t="inlineStr"/>
    </row>
    <row r="41">
      <c r="A41" s="11" t="inlineStr">
        <is>
          <t>20%</t>
        </is>
      </c>
      <c r="B41" s="10" t="n">
        <v>369919</v>
      </c>
      <c r="C41" s="10" t="n">
        <v>376929</v>
      </c>
      <c r="D41" s="10" t="n">
        <v>532949</v>
      </c>
      <c r="E41" s="10" t="n">
        <v>10.7</v>
      </c>
      <c r="F41" s="6" t="inlineStr"/>
    </row>
    <row r="42">
      <c r="A42" s="11" t="inlineStr">
        <is>
          <t>25%</t>
        </is>
      </c>
      <c r="B42" s="10" t="n">
        <v>182491</v>
      </c>
      <c r="C42" s="10" t="n">
        <v>186614</v>
      </c>
      <c r="D42" s="10" t="n">
        <v>278385</v>
      </c>
      <c r="E42" s="10" t="n">
        <v>8.4</v>
      </c>
      <c r="F42" s="6" t="inlineStr"/>
    </row>
    <row r="44" ht="25" customHeight="1">
      <c r="A44" s="18" t="inlineStr">
        <is>
          <t>DCF - BULL CASE (Primary Rate: 18%)</t>
        </is>
      </c>
    </row>
    <row r="45">
      <c r="A45" s="5" t="inlineStr">
        <is>
          <t>Year</t>
        </is>
      </c>
      <c r="B45" s="5" t="inlineStr">
        <is>
          <t>Year 0</t>
        </is>
      </c>
      <c r="C45" s="5" t="inlineStr">
        <is>
          <t>Year 1</t>
        </is>
      </c>
      <c r="D45" s="5" t="inlineStr">
        <is>
          <t>Year 2</t>
        </is>
      </c>
      <c r="E45" s="5" t="inlineStr">
        <is>
          <t>Year 3</t>
        </is>
      </c>
      <c r="F45" s="5" t="inlineStr">
        <is>
          <t>Year 4</t>
        </is>
      </c>
      <c r="G45" s="5" t="inlineStr">
        <is>
          <t>Year 5</t>
        </is>
      </c>
      <c r="H45" s="5" t="inlineStr">
        <is>
          <t>Year 6</t>
        </is>
      </c>
      <c r="I45" s="5" t="inlineStr">
        <is>
          <t>Year 7</t>
        </is>
      </c>
      <c r="J45" s="5" t="inlineStr">
        <is>
          <t>Year 8</t>
        </is>
      </c>
      <c r="K45" s="5" t="inlineStr">
        <is>
          <t>Year 9</t>
        </is>
      </c>
      <c r="L45" s="5" t="inlineStr">
        <is>
          <t>Year 10</t>
        </is>
      </c>
      <c r="M45" s="5" t="inlineStr">
        <is>
          <t>Year 11</t>
        </is>
      </c>
      <c r="N45" s="5" t="inlineStr">
        <is>
          <t>Year 12</t>
        </is>
      </c>
      <c r="O45" s="5" t="inlineStr">
        <is>
          <t>Year 13</t>
        </is>
      </c>
    </row>
    <row r="46">
      <c r="A46" s="6" t="inlineStr">
        <is>
          <t>Cash Flow (UFCF)</t>
        </is>
      </c>
      <c r="B46" s="10" t="n">
        <v>-500000</v>
      </c>
      <c r="C46" s="10" t="n">
        <v>262390</v>
      </c>
      <c r="D46" s="10" t="n">
        <v>479598</v>
      </c>
      <c r="E46" s="10" t="n">
        <v>524218</v>
      </c>
      <c r="F46" s="10" t="n">
        <v>557822</v>
      </c>
      <c r="G46" s="10" t="n">
        <v>593333</v>
      </c>
      <c r="H46" s="10" t="n">
        <v>645401</v>
      </c>
      <c r="I46" s="10" t="n">
        <v>685764</v>
      </c>
      <c r="J46" s="10" t="n">
        <v>728396</v>
      </c>
      <c r="K46" s="10" t="n">
        <v>773413</v>
      </c>
      <c r="L46" s="10" t="n">
        <v>820945</v>
      </c>
      <c r="M46" s="10" t="n">
        <v>871129</v>
      </c>
      <c r="N46" s="10" t="n">
        <v>924103</v>
      </c>
      <c r="O46" s="10" t="n">
        <v>980015</v>
      </c>
    </row>
    <row r="47">
      <c r="A47" s="6" t="inlineStr">
        <is>
          <t>Discount Factor (18%)</t>
        </is>
      </c>
      <c r="B47" s="37" t="n">
        <v>1</v>
      </c>
      <c r="C47" s="37" t="n">
        <v>0.8474576271186441</v>
      </c>
      <c r="D47" s="37" t="n">
        <v>0.7181844297615628</v>
      </c>
      <c r="E47" s="37" t="n">
        <v>0.6086308726792905</v>
      </c>
      <c r="F47" s="37" t="n">
        <v>0.5157888751519412</v>
      </c>
      <c r="G47" s="37" t="n">
        <v>0.4371092162304586</v>
      </c>
      <c r="H47" s="37" t="n">
        <v>0.3704315391783548</v>
      </c>
      <c r="I47" s="37" t="n">
        <v>0.3139250332019956</v>
      </c>
      <c r="J47" s="37" t="n">
        <v>0.2660381637305048</v>
      </c>
      <c r="K47" s="37" t="n">
        <v>0.2254560709580549</v>
      </c>
      <c r="L47" s="37" t="n">
        <v>0.1910644669136059</v>
      </c>
      <c r="M47" s="37" t="n">
        <v>0.1619190397572931</v>
      </c>
      <c r="N47" s="37" t="n">
        <v>0.137219525218045</v>
      </c>
      <c r="O47" s="37" t="n">
        <v>0.1162877332356314</v>
      </c>
    </row>
    <row r="48">
      <c r="A48" s="6" t="inlineStr">
        <is>
          <t>Present Value</t>
        </is>
      </c>
      <c r="B48" s="10" t="n">
        <v>-500000</v>
      </c>
      <c r="C48" s="10" t="n">
        <v>222364</v>
      </c>
      <c r="D48" s="10" t="n">
        <v>344440</v>
      </c>
      <c r="E48" s="10" t="n">
        <v>319055</v>
      </c>
      <c r="F48" s="10" t="n">
        <v>287718</v>
      </c>
      <c r="G48" s="10" t="n">
        <v>259351</v>
      </c>
      <c r="H48" s="10" t="n">
        <v>239077</v>
      </c>
      <c r="I48" s="10" t="n">
        <v>215278</v>
      </c>
      <c r="J48" s="10" t="n">
        <v>193781</v>
      </c>
      <c r="K48" s="10" t="n">
        <v>174371</v>
      </c>
      <c r="L48" s="10" t="n">
        <v>156853</v>
      </c>
      <c r="M48" s="10" t="n">
        <v>141052</v>
      </c>
      <c r="N48" s="10" t="n">
        <v>126805</v>
      </c>
      <c r="O48" s="10" t="n">
        <v>113964</v>
      </c>
    </row>
    <row r="49">
      <c r="A49" s="23" t="inlineStr">
        <is>
          <t>NET PRESENT VALUE (NPV)</t>
        </is>
      </c>
      <c r="B49" s="24" t="n">
        <v>2294111</v>
      </c>
      <c r="C49" s="23" t="inlineStr"/>
      <c r="D49" s="23" t="inlineStr"/>
      <c r="E49" s="23" t="inlineStr"/>
      <c r="F49" s="23" t="inlineStr"/>
      <c r="G49" s="23" t="inlineStr"/>
      <c r="H49" s="23" t="inlineStr"/>
      <c r="I49" s="23" t="inlineStr"/>
      <c r="J49" s="23" t="inlineStr"/>
      <c r="K49" s="23" t="inlineStr"/>
      <c r="L49" s="23" t="inlineStr"/>
      <c r="M49" s="23" t="inlineStr"/>
      <c r="N49" s="23" t="inlineStr"/>
    </row>
    <row r="51" ht="25" customHeight="1">
      <c r="A51" s="18" t="inlineStr">
        <is>
          <t>TERMINAL VALUE SCENARIOS - BULL CASE</t>
        </is>
      </c>
    </row>
    <row r="52">
      <c r="A52" s="5" t="inlineStr">
        <is>
          <t>Terminal Value Scenario</t>
        </is>
      </c>
      <c r="B52" s="5" t="inlineStr">
        <is>
          <t>Terminal Value (EUR)</t>
        </is>
      </c>
      <c r="C52" s="5" t="inlineStr">
        <is>
          <t>PV of Terminal Value</t>
        </is>
      </c>
      <c r="D52" s="5" t="inlineStr">
        <is>
          <t>Total Enterprise Value</t>
        </is>
      </c>
      <c r="E52" s="5" t="inlineStr">
        <is>
          <t>vs Zero TV</t>
        </is>
      </c>
      <c r="F52" s="5" t="inlineStr"/>
    </row>
    <row r="53">
      <c r="A53" s="6" t="inlineStr">
        <is>
          <t>Walk-Away (EUR 0)</t>
        </is>
      </c>
      <c r="B53" s="10" t="n">
        <v>0</v>
      </c>
      <c r="C53" s="10" t="n">
        <v>0</v>
      </c>
      <c r="D53" s="10" t="n">
        <v>2294111</v>
      </c>
      <c r="E53" s="6" t="inlineStr">
        <is>
          <t>Base case</t>
        </is>
      </c>
      <c r="F53" s="6" t="inlineStr"/>
    </row>
    <row r="54">
      <c r="A54" s="6" t="inlineStr">
        <is>
          <t>Liquidation (Equipment Salvage)</t>
        </is>
      </c>
      <c r="B54" s="10" t="n">
        <v>75000</v>
      </c>
      <c r="C54" s="10" t="n">
        <v>8722</v>
      </c>
      <c r="D54" s="10" t="n">
        <v>2302833</v>
      </c>
      <c r="E54" s="6" t="inlineStr">
        <is>
          <t>+EUR 8,722</t>
        </is>
      </c>
      <c r="F54" s="6" t="inlineStr"/>
    </row>
    <row r="55">
      <c r="A55" s="7" t="inlineStr">
        <is>
          <t>Renewal (4x Year 13 EBITDA)</t>
        </is>
      </c>
      <c r="B55" s="27" t="n">
        <v>4192632</v>
      </c>
      <c r="C55" s="27" t="n">
        <v>487552</v>
      </c>
      <c r="D55" s="27" t="n">
        <v>2781663</v>
      </c>
      <c r="E55" s="7" t="inlineStr">
        <is>
          <t>+EUR 487,552</t>
        </is>
      </c>
      <c r="F55" s="7" t="inlineStr"/>
    </row>
    <row r="57" ht="25" customHeight="1">
      <c r="A57" s="18" t="inlineStr">
        <is>
          <t>DISCOUNT RATE SENSITIVITY - BULL CASE</t>
        </is>
      </c>
    </row>
    <row r="58">
      <c r="A58" s="5" t="inlineStr">
        <is>
          <t>Discount Rate</t>
        </is>
      </c>
      <c r="B58" s="5" t="inlineStr">
        <is>
          <t>NPV (Zero TV)</t>
        </is>
      </c>
      <c r="C58" s="5" t="inlineStr">
        <is>
          <t>NPV (Liquidation TV)</t>
        </is>
      </c>
      <c r="D58" s="5" t="inlineStr">
        <is>
          <t>NPV (Renewal TV)</t>
        </is>
      </c>
      <c r="E58" s="5" t="inlineStr">
        <is>
          <t>Implied EV/EBITDA (Yr1)</t>
        </is>
      </c>
      <c r="F58" s="5" t="inlineStr"/>
    </row>
    <row r="59">
      <c r="A59" s="11" t="inlineStr">
        <is>
          <t>15%</t>
        </is>
      </c>
      <c r="B59" s="10" t="n">
        <v>2766385</v>
      </c>
      <c r="C59" s="10" t="n">
        <v>2778574</v>
      </c>
      <c r="D59" s="10" t="n">
        <v>3447804</v>
      </c>
      <c r="E59" s="10" t="n">
        <v>9.800000000000001</v>
      </c>
      <c r="F59" s="6" t="inlineStr"/>
    </row>
    <row r="60">
      <c r="A60" s="38" t="inlineStr">
        <is>
          <t>18%</t>
        </is>
      </c>
      <c r="B60" s="39" t="n">
        <v>2294111</v>
      </c>
      <c r="C60" s="39" t="n">
        <v>2302832</v>
      </c>
      <c r="D60" s="39" t="n">
        <v>2781663</v>
      </c>
      <c r="E60" s="39" t="n">
        <v>8.4</v>
      </c>
      <c r="F60" s="40" t="inlineStr"/>
    </row>
    <row r="61">
      <c r="A61" s="11" t="inlineStr">
        <is>
          <t>20%</t>
        </is>
      </c>
      <c r="B61" s="10" t="n">
        <v>2034431</v>
      </c>
      <c r="C61" s="10" t="n">
        <v>2041441</v>
      </c>
      <c r="D61" s="10" t="n">
        <v>2426291</v>
      </c>
      <c r="E61" s="10" t="n">
        <v>7.6</v>
      </c>
      <c r="F61" s="6" t="inlineStr"/>
    </row>
    <row r="62">
      <c r="A62" s="11" t="inlineStr">
        <is>
          <t>25%</t>
        </is>
      </c>
      <c r="B62" s="10" t="n">
        <v>1527534</v>
      </c>
      <c r="C62" s="10" t="n">
        <v>1531657</v>
      </c>
      <c r="D62" s="10" t="n">
        <v>1758026</v>
      </c>
      <c r="E62" s="10" t="n">
        <v>6.1</v>
      </c>
      <c r="F62" s="6" t="inlineStr"/>
    </row>
    <row r="64">
      <c r="A64" s="29" t="inlineStr">
        <is>
          <t>KEY METHODOLOGICAL IMPROVEMENT: This DCF uses Unlevered Free Cash Flow (EBITDA - maintenance capex - tax - working capital changes), not raw EBITDA. This gives a more conservative and more accurate enterprise value. The 18% discount rate reflects a balanced view of execution risk, illiquidity premium, and small business risk premium.</t>
        </is>
      </c>
    </row>
  </sheetData>
  <mergeCells count="12">
    <mergeCell ref="A17:N17"/>
    <mergeCell ref="A31:N31"/>
    <mergeCell ref="A4:N4"/>
    <mergeCell ref="A24:N24"/>
    <mergeCell ref="A2:N2"/>
    <mergeCell ref="A64:N64"/>
    <mergeCell ref="A57:N57"/>
    <mergeCell ref="A11:N11"/>
    <mergeCell ref="A51:N51"/>
    <mergeCell ref="A37:N37"/>
    <mergeCell ref="A44:N44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5623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IRR &amp; RETURN METRICS (Enhanced: MOIC, Levered Returns, Breakeven)</t>
        </is>
      </c>
    </row>
    <row r="2">
      <c r="A2" s="9" t="inlineStr">
        <is>
          <t>PURPOSE: Comprehensive return analysis including IRR at multiple discount rates, MOIC (Money-on-Money Multiple), payback period, levered returns, and breakeven analysis. Uses UFCF (not EBITDA) for accuracy.</t>
        </is>
      </c>
    </row>
    <row r="4" ht="25" customHeight="1">
      <c r="A4" s="18" t="inlineStr">
        <is>
          <t>UNLEVERED RETURN METRICS (UFCF-Based)</t>
        </is>
      </c>
    </row>
    <row r="5">
      <c r="A5" s="5" t="inlineStr">
        <is>
          <t>Metric</t>
        </is>
      </c>
      <c r="B5" s="5" t="inlineStr">
        <is>
          <t>Bear Case</t>
        </is>
      </c>
      <c r="C5" s="5" t="inlineStr">
        <is>
          <t>Base Case</t>
        </is>
      </c>
      <c r="D5" s="5" t="inlineStr">
        <is>
          <t>Bull Case</t>
        </is>
      </c>
      <c r="E5" s="5" t="inlineStr">
        <is>
          <t>Probability</t>
        </is>
      </c>
      <c r="F5" s="5" t="inlineStr">
        <is>
          <t>Weighted Value</t>
        </is>
      </c>
      <c r="G5" s="5" t="inlineStr"/>
      <c r="H5" s="5" t="inlineStr"/>
    </row>
    <row r="6">
      <c r="A6" s="23" t="inlineStr">
        <is>
          <t>IRR (Unlevered)</t>
        </is>
      </c>
      <c r="B6" s="41" t="n">
        <v>0.1280394378118217</v>
      </c>
      <c r="C6" s="41" t="n">
        <v>0.3239220348186791</v>
      </c>
      <c r="D6" s="41" t="n">
        <v>0.8180424575693905</v>
      </c>
      <c r="E6" s="23" t="inlineStr"/>
      <c r="F6" s="23" t="inlineStr"/>
      <c r="G6" s="23" t="inlineStr"/>
      <c r="H6" s="23" t="inlineStr"/>
    </row>
    <row r="7">
      <c r="A7" s="6" t="inlineStr">
        <is>
          <t>Payback Period (Years)</t>
        </is>
      </c>
      <c r="B7" s="42" t="n">
        <v>7.562743770750734</v>
      </c>
      <c r="C7" s="42" t="n">
        <v>3.669598094485241</v>
      </c>
      <c r="D7" s="42" t="n">
        <v>1.495435760782989</v>
      </c>
      <c r="E7" s="6" t="inlineStr"/>
      <c r="F7" s="6" t="inlineStr"/>
      <c r="G7" s="6" t="inlineStr"/>
      <c r="H7" s="6" t="inlineStr"/>
    </row>
    <row r="8">
      <c r="A8" s="23" t="inlineStr">
        <is>
          <t>MOIC (13-Year)</t>
        </is>
      </c>
      <c r="B8" s="43" t="n">
        <v>2.885472</v>
      </c>
      <c r="C8" s="43" t="n">
        <v>6.559158</v>
      </c>
      <c r="D8" s="43" t="n">
        <v>17.693052</v>
      </c>
      <c r="E8" s="23" t="inlineStr"/>
      <c r="F8" s="23" t="inlineStr"/>
      <c r="G8" s="23" t="inlineStr"/>
      <c r="H8" s="23" t="inlineStr"/>
    </row>
    <row r="9">
      <c r="A9" s="6" t="inlineStr">
        <is>
          <t>13-Year Cumulative UFCF</t>
        </is>
      </c>
      <c r="B9" s="10" t="n">
        <v>1404974</v>
      </c>
      <c r="C9" s="10" t="n">
        <v>3279579</v>
      </c>
      <c r="D9" s="10" t="n">
        <v>8846526</v>
      </c>
      <c r="E9" s="6" t="inlineStr"/>
      <c r="F9" s="6" t="inlineStr"/>
      <c r="G9" s="6" t="inlineStr"/>
      <c r="H9" s="6" t="inlineStr"/>
    </row>
    <row r="10">
      <c r="A10" s="6" t="inlineStr">
        <is>
          <t>Net Profit (UFCF - Investment)</t>
        </is>
      </c>
      <c r="B10" s="10" t="n">
        <v>904974</v>
      </c>
      <c r="C10" s="10" t="n">
        <v>2779579</v>
      </c>
      <c r="D10" s="10" t="n">
        <v>8346526</v>
      </c>
      <c r="E10" s="6" t="inlineStr"/>
      <c r="F10" s="6" t="inlineStr"/>
      <c r="G10" s="6" t="inlineStr"/>
      <c r="H10" s="6" t="inlineStr"/>
    </row>
    <row r="12" ht="25" customHeight="1">
      <c r="A12" s="18" t="inlineStr">
        <is>
          <t>IRR SENSITIVITY BY INVESTMENT LEVEL</t>
        </is>
      </c>
    </row>
    <row r="13">
      <c r="A13" s="5" t="inlineStr">
        <is>
          <t>Investment</t>
        </is>
      </c>
      <c r="B13" s="5" t="inlineStr">
        <is>
          <t>Bear IRR</t>
        </is>
      </c>
      <c r="C13" s="5" t="inlineStr">
        <is>
          <t>Base IRR</t>
        </is>
      </c>
      <c r="D13" s="5" t="inlineStr">
        <is>
          <t>Bull IRR</t>
        </is>
      </c>
      <c r="E13" s="5" t="inlineStr">
        <is>
          <t>Bear Payback</t>
        </is>
      </c>
      <c r="F13" s="5" t="inlineStr">
        <is>
          <t>Base Payback</t>
        </is>
      </c>
      <c r="G13" s="5" t="inlineStr">
        <is>
          <t>Bull Payback</t>
        </is>
      </c>
      <c r="H13" s="5" t="inlineStr"/>
    </row>
    <row r="14">
      <c r="A14" s="6" t="inlineStr">
        <is>
          <t>EUR 300K</t>
        </is>
      </c>
      <c r="B14" s="44" t="n">
        <v>0.2049672161228955</v>
      </c>
      <c r="C14" s="44" t="n">
        <v>0.4779565841890872</v>
      </c>
      <c r="D14" s="44" t="n">
        <v>1.245945889968425</v>
      </c>
      <c r="E14" s="42" t="n">
        <v>5.805029150823827</v>
      </c>
      <c r="F14" s="42" t="n">
        <v>2.596087124132614</v>
      </c>
      <c r="G14" s="42" t="n">
        <v>1.078419843285418</v>
      </c>
      <c r="H14" s="6" t="inlineStr"/>
    </row>
    <row r="15">
      <c r="A15" s="6" t="inlineStr">
        <is>
          <t>EUR 400K</t>
        </is>
      </c>
      <c r="B15" s="44" t="n">
        <v>0.1603298545815051</v>
      </c>
      <c r="C15" s="44" t="n">
        <v>0.385419228579849</v>
      </c>
      <c r="D15" s="44" t="n">
        <v>0.9822706091217697</v>
      </c>
      <c r="E15" s="42" t="n">
        <v>6.728066775435149</v>
      </c>
      <c r="F15" s="42" t="n">
        <v>3.149534022591583</v>
      </c>
      <c r="G15" s="42" t="n">
        <v>1.286927802034204</v>
      </c>
      <c r="H15" s="6" t="inlineStr"/>
    </row>
    <row r="16">
      <c r="A16" s="40" t="inlineStr">
        <is>
          <t>EUR 500K</t>
        </is>
      </c>
      <c r="B16" s="45" t="n">
        <v>0.1280394378118217</v>
      </c>
      <c r="C16" s="45" t="n">
        <v>0.3239220348186791</v>
      </c>
      <c r="D16" s="45" t="n">
        <v>0.8180424575693905</v>
      </c>
      <c r="E16" s="46" t="n">
        <v>7.562743770750734</v>
      </c>
      <c r="F16" s="46" t="n">
        <v>3.669598094485241</v>
      </c>
      <c r="G16" s="46" t="n">
        <v>1.495435760782989</v>
      </c>
      <c r="H16" s="40" t="inlineStr"/>
    </row>
    <row r="17">
      <c r="A17" s="6" t="inlineStr">
        <is>
          <t>EUR 600K</t>
        </is>
      </c>
      <c r="B17" s="44" t="n">
        <v>0.1030300469137728</v>
      </c>
      <c r="C17" s="44" t="n">
        <v>0.2791234445758164</v>
      </c>
      <c r="D17" s="44" t="n">
        <v>0.7049217657186091</v>
      </c>
      <c r="E17" s="42" t="n">
        <v>8.331127745522464</v>
      </c>
      <c r="F17" s="42" t="n">
        <v>4.174337670781028</v>
      </c>
      <c r="G17" s="42" t="n">
        <v>1.703943719531774</v>
      </c>
      <c r="H17" s="6" t="inlineStr"/>
    </row>
    <row r="19" ht="25" customHeight="1">
      <c r="A19" s="18" t="inlineStr">
        <is>
          <t>MOIC (Money-on-Money Multiple) BY INVESTMENT LEVEL</t>
        </is>
      </c>
    </row>
    <row r="20">
      <c r="A20" s="5" t="inlineStr">
        <is>
          <t>Investment</t>
        </is>
      </c>
      <c r="B20" s="5" t="inlineStr">
        <is>
          <t>Bear MOIC</t>
        </is>
      </c>
      <c r="C20" s="5" t="inlineStr">
        <is>
          <t>Base MOIC</t>
        </is>
      </c>
      <c r="D20" s="5" t="inlineStr">
        <is>
          <t>Bull MOIC</t>
        </is>
      </c>
      <c r="E20" s="5" t="inlineStr">
        <is>
          <t>Bear Net Profit</t>
        </is>
      </c>
      <c r="F20" s="5" t="inlineStr">
        <is>
          <t>Base Net Profit</t>
        </is>
      </c>
      <c r="G20" s="5" t="inlineStr">
        <is>
          <t>Bull Net Profit</t>
        </is>
      </c>
      <c r="H20" s="5" t="inlineStr"/>
    </row>
    <row r="21">
      <c r="A21" s="6" t="inlineStr">
        <is>
          <t>EUR 300K</t>
        </is>
      </c>
      <c r="B21" s="42" t="n">
        <v>4.80912</v>
      </c>
      <c r="C21" s="42" t="n">
        <v>10.93193</v>
      </c>
      <c r="D21" s="42" t="n">
        <v>29.48842</v>
      </c>
      <c r="E21" s="10" t="n">
        <v>1104974</v>
      </c>
      <c r="F21" s="10" t="n">
        <v>2979579</v>
      </c>
      <c r="G21" s="10" t="n">
        <v>8546526</v>
      </c>
      <c r="H21" s="6" t="inlineStr"/>
    </row>
    <row r="22">
      <c r="A22" s="6" t="inlineStr">
        <is>
          <t>EUR 400K</t>
        </is>
      </c>
      <c r="B22" s="42" t="n">
        <v>3.60684</v>
      </c>
      <c r="C22" s="42" t="n">
        <v>8.198947499999999</v>
      </c>
      <c r="D22" s="42" t="n">
        <v>22.116315</v>
      </c>
      <c r="E22" s="10" t="n">
        <v>1004974</v>
      </c>
      <c r="F22" s="10" t="n">
        <v>2879579</v>
      </c>
      <c r="G22" s="10" t="n">
        <v>8446526</v>
      </c>
      <c r="H22" s="6" t="inlineStr"/>
    </row>
    <row r="23">
      <c r="A23" s="40" t="inlineStr">
        <is>
          <t>EUR 500K</t>
        </is>
      </c>
      <c r="B23" s="46" t="n">
        <v>2.885472</v>
      </c>
      <c r="C23" s="46" t="n">
        <v>6.559158</v>
      </c>
      <c r="D23" s="46" t="n">
        <v>17.693052</v>
      </c>
      <c r="E23" s="39" t="n">
        <v>904974</v>
      </c>
      <c r="F23" s="39" t="n">
        <v>2779579</v>
      </c>
      <c r="G23" s="39" t="n">
        <v>8346526</v>
      </c>
      <c r="H23" s="40" t="inlineStr"/>
    </row>
    <row r="24">
      <c r="A24" s="6" t="inlineStr">
        <is>
          <t>EUR 600K</t>
        </is>
      </c>
      <c r="B24" s="42" t="n">
        <v>2.40456</v>
      </c>
      <c r="C24" s="42" t="n">
        <v>5.465965</v>
      </c>
      <c r="D24" s="42" t="n">
        <v>14.74421</v>
      </c>
      <c r="E24" s="10" t="n">
        <v>804974</v>
      </c>
      <c r="F24" s="10" t="n">
        <v>2679579</v>
      </c>
      <c r="G24" s="10" t="n">
        <v>8246526</v>
      </c>
      <c r="H24" s="6" t="inlineStr"/>
    </row>
    <row r="26" ht="25" customHeight="1">
      <c r="A26" s="18" t="inlineStr">
        <is>
          <t>LEVERED RETURN SCENARIOS (Base Case Only)</t>
        </is>
      </c>
    </row>
    <row r="27">
      <c r="A27" s="8" t="inlineStr">
        <is>
          <t>Models impact of debt financing on equity returns. Assumes 6% interest rate on debt, interest-only during projection period, bullet repayment at exit.</t>
        </is>
      </c>
    </row>
    <row r="28">
      <c r="A28" s="5" t="inlineStr">
        <is>
          <t>Metric</t>
        </is>
      </c>
      <c r="B28" s="5" t="inlineStr">
        <is>
          <t>0% Debt (All Equity)</t>
        </is>
      </c>
      <c r="C28" s="5" t="inlineStr">
        <is>
          <t>30% Debt</t>
        </is>
      </c>
      <c r="D28" s="5" t="inlineStr">
        <is>
          <t>50% Debt</t>
        </is>
      </c>
      <c r="E28" s="5" t="inlineStr">
        <is>
          <t>Interest Rate</t>
        </is>
      </c>
      <c r="F28" s="5" t="inlineStr">
        <is>
          <t>Debt Amount</t>
        </is>
      </c>
      <c r="G28" s="5" t="inlineStr">
        <is>
          <t>Annual Interest</t>
        </is>
      </c>
      <c r="H28" s="5" t="inlineStr"/>
    </row>
    <row r="29">
      <c r="A29" s="6" t="inlineStr">
        <is>
          <t>Equity Required</t>
        </is>
      </c>
      <c r="B29" s="10" t="n">
        <v>500000</v>
      </c>
      <c r="C29" s="10" t="n">
        <v>350000</v>
      </c>
      <c r="D29" s="10" t="n">
        <v>250000</v>
      </c>
      <c r="E29" s="6" t="inlineStr"/>
      <c r="F29" s="6" t="inlineStr"/>
      <c r="G29" s="6" t="inlineStr"/>
      <c r="H29" s="6" t="inlineStr"/>
    </row>
    <row r="30">
      <c r="A30" s="6" t="inlineStr">
        <is>
          <t>Debt Amount</t>
        </is>
      </c>
      <c r="B30" s="10" t="n">
        <v>0</v>
      </c>
      <c r="C30" s="10" t="n">
        <v>150000</v>
      </c>
      <c r="D30" s="10" t="n">
        <v>250000</v>
      </c>
      <c r="E30" s="6" t="inlineStr"/>
      <c r="F30" s="6" t="inlineStr"/>
      <c r="G30" s="6" t="inlineStr"/>
      <c r="H30" s="6" t="inlineStr"/>
    </row>
    <row r="31">
      <c r="A31" s="6" t="inlineStr">
        <is>
          <t>Annual Interest Cost</t>
        </is>
      </c>
      <c r="B31" s="10" t="n">
        <v>0</v>
      </c>
      <c r="C31" s="10" t="n">
        <v>9000</v>
      </c>
      <c r="D31" s="10" t="n">
        <v>15000</v>
      </c>
      <c r="E31" s="6" t="inlineStr"/>
      <c r="F31" s="6" t="inlineStr"/>
      <c r="G31" s="6" t="inlineStr"/>
      <c r="H31" s="6" t="inlineStr"/>
    </row>
    <row r="32">
      <c r="A32" s="23" t="inlineStr">
        <is>
          <t>Levered IRR</t>
        </is>
      </c>
      <c r="B32" s="41" t="n">
        <v>0.3239220348186791</v>
      </c>
      <c r="C32" s="41" t="n">
        <v>0.4073717384599149</v>
      </c>
      <c r="D32" s="41" t="n">
        <v>0.5032129916362464</v>
      </c>
      <c r="E32" s="23" t="inlineStr"/>
      <c r="F32" s="23" t="inlineStr"/>
      <c r="G32" s="23" t="inlineStr"/>
      <c r="H32" s="23" t="inlineStr"/>
    </row>
    <row r="33">
      <c r="A33" s="12" t="inlineStr">
        <is>
          <t>Levered MOIC</t>
        </is>
      </c>
      <c r="B33" s="47" t="n">
        <v>6.559158</v>
      </c>
      <c r="C33" s="47" t="n">
        <v>9.03594</v>
      </c>
      <c r="D33" s="47" t="n">
        <v>12.338316</v>
      </c>
      <c r="E33" s="12" t="inlineStr"/>
      <c r="F33" s="12" t="inlineStr"/>
      <c r="G33" s="12" t="inlineStr"/>
      <c r="H33" s="12" t="inlineStr"/>
    </row>
    <row r="34">
      <c r="A34" s="6" t="inlineStr">
        <is>
          <t>Levered Payback (Years)</t>
        </is>
      </c>
      <c r="B34" s="42" t="n">
        <v>3.669598094485241</v>
      </c>
      <c r="C34" s="42" t="n">
        <v>3.031388446345562</v>
      </c>
      <c r="D34" s="42" t="n">
        <v>2.527566422127491</v>
      </c>
      <c r="E34" s="6" t="inlineStr"/>
      <c r="F34" s="6" t="inlineStr"/>
      <c r="G34" s="6" t="inlineStr"/>
      <c r="H34" s="6" t="inlineStr"/>
    </row>
    <row r="36" ht="25" customHeight="1">
      <c r="A36" s="18" t="inlineStr">
        <is>
          <t>BREAKEVEN ANALYSIS</t>
        </is>
      </c>
    </row>
    <row r="37">
      <c r="A37" s="5" t="inlineStr">
        <is>
          <t>Breakeven Metric</t>
        </is>
      </c>
      <c r="B37" s="5" t="inlineStr">
        <is>
          <t>Value</t>
        </is>
      </c>
      <c r="C37" s="5" t="inlineStr">
        <is>
          <t>Unit</t>
        </is>
      </c>
      <c r="D37" s="5" t="inlineStr">
        <is>
          <t>Basis</t>
        </is>
      </c>
      <c r="E37" s="5" t="inlineStr"/>
      <c r="F37" s="5" t="inlineStr"/>
      <c r="G37" s="5" t="inlineStr"/>
      <c r="H37" s="5" t="inlineStr"/>
    </row>
    <row r="38">
      <c r="A38" s="6" t="inlineStr">
        <is>
          <t>Monthly Breakeven Revenue</t>
        </is>
      </c>
      <c r="B38" s="10" t="n">
        <v>44716</v>
      </c>
      <c r="C38" s="6" t="inlineStr">
        <is>
          <t>EUR/month</t>
        </is>
      </c>
      <c r="D38" s="6" t="inlineStr">
        <is>
          <t>Fixed costs / contribution margin (67%)</t>
        </is>
      </c>
      <c r="E38" s="6" t="inlineStr"/>
      <c r="F38" s="6" t="inlineStr"/>
      <c r="G38" s="6" t="inlineStr"/>
      <c r="H38" s="6" t="inlineStr"/>
    </row>
    <row r="39">
      <c r="A39" s="6" t="inlineStr">
        <is>
          <t>Annual Breakeven Revenue</t>
        </is>
      </c>
      <c r="B39" s="10" t="n">
        <v>536597</v>
      </c>
      <c r="C39" s="6" t="inlineStr">
        <is>
          <t>EUR/year</t>
        </is>
      </c>
      <c r="D39" s="6" t="inlineStr">
        <is>
          <t>Monthly x 12</t>
        </is>
      </c>
      <c r="E39" s="6" t="inlineStr"/>
      <c r="F39" s="6" t="inlineStr"/>
      <c r="G39" s="6" t="inlineStr"/>
      <c r="H39" s="6" t="inlineStr"/>
    </row>
    <row r="40">
      <c r="A40" s="6" t="inlineStr">
        <is>
          <t>Breakeven as % of Base Case Revenue</t>
        </is>
      </c>
      <c r="B40" s="11" t="n">
        <v>0.745273631840796</v>
      </c>
      <c r="C40" s="6" t="inlineStr">
        <is>
          <t>%</t>
        </is>
      </c>
      <c r="D40" s="6" t="inlineStr">
        <is>
          <t>vs EUR 60K/month Base target</t>
        </is>
      </c>
      <c r="E40" s="6" t="inlineStr"/>
      <c r="F40" s="6" t="inlineStr"/>
      <c r="G40" s="6" t="inlineStr"/>
      <c r="H40" s="6" t="inlineStr"/>
    </row>
    <row r="41">
      <c r="A41" s="6" t="inlineStr">
        <is>
          <t>Disaster Scenario: Spa EUR 20K, No Clinic</t>
        </is>
      </c>
      <c r="B41" s="10" t="n">
        <v>5020</v>
      </c>
      <c r="C41" s="6" t="inlineStr">
        <is>
          <t>EUR/month EBITDA</t>
        </is>
      </c>
      <c r="D41" s="6" t="inlineStr">
        <is>
          <t>If clinic fails completely, spa only at EUR 20K</t>
        </is>
      </c>
      <c r="E41" s="6" t="inlineStr"/>
      <c r="F41" s="6" t="inlineStr"/>
      <c r="G41" s="6" t="inlineStr"/>
      <c r="H41" s="6" t="inlineStr"/>
    </row>
    <row r="42">
      <c r="A42" s="6" t="inlineStr">
        <is>
          <t>Breakeven Growth Rate Required (13yr)</t>
        </is>
      </c>
      <c r="B42" s="11" t="n">
        <v>0.02</v>
      </c>
      <c r="C42" s="6" t="inlineStr">
        <is>
          <t>%</t>
        </is>
      </c>
      <c r="D42" s="6" t="inlineStr">
        <is>
          <t>Minimum growth to avoid cumulative loss over 13 years</t>
        </is>
      </c>
      <c r="E42" s="6" t="inlineStr"/>
      <c r="F42" s="6" t="inlineStr"/>
      <c r="G42" s="6" t="inlineStr"/>
      <c r="H42" s="6" t="inlineStr"/>
    </row>
    <row r="43">
      <c r="A43" s="6" t="inlineStr">
        <is>
          <t>Cash Runway at Zero Revenue</t>
        </is>
      </c>
      <c r="B43" s="10" t="n">
        <v>17</v>
      </c>
      <c r="C43" s="6" t="inlineStr">
        <is>
          <t>Months</t>
        </is>
      </c>
      <c r="D43" s="6" t="inlineStr">
        <is>
          <t>How long investment lasts with zero revenue</t>
        </is>
      </c>
      <c r="E43" s="6" t="inlineStr"/>
      <c r="F43" s="6" t="inlineStr"/>
      <c r="G43" s="6" t="inlineStr"/>
      <c r="H43" s="6" t="inlineStr"/>
    </row>
  </sheetData>
  <mergeCells count="8">
    <mergeCell ref="A12:H12"/>
    <mergeCell ref="A4:H4"/>
    <mergeCell ref="A26:H26"/>
    <mergeCell ref="A2:H2"/>
    <mergeCell ref="A19:H19"/>
    <mergeCell ref="A36:H36"/>
    <mergeCell ref="A1:H1"/>
    <mergeCell ref="A27:H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CUSTOMER &amp; REVENUE DRIVER ANALYSIS</t>
        </is>
      </c>
    </row>
    <row r="2">
      <c r="A2" s="9" t="inlineStr">
        <is>
          <t>PURPOSE: Connects revenue to customer acquisition, retention, and lifetime value. Validates that revenue targets are achievable given CAC, conversion rates, and market size. This was completely absent in v1.0.</t>
        </is>
      </c>
    </row>
    <row r="4" ht="25" customHeight="1">
      <c r="A4" s="18" t="inlineStr">
        <is>
          <t>SPA CUSTOMER ECONOMICS</t>
        </is>
      </c>
    </row>
    <row r="5">
      <c r="A5" s="5" t="inlineStr">
        <is>
          <t>Metric</t>
        </is>
      </c>
      <c r="B5" s="5" t="inlineStr">
        <is>
          <t>Conservative</t>
        </is>
      </c>
      <c r="C5" s="5" t="inlineStr">
        <is>
          <t>Base Estimate</t>
        </is>
      </c>
      <c r="D5" s="5" t="inlineStr">
        <is>
          <t>Optimistic</t>
        </is>
      </c>
      <c r="E5" s="5" t="inlineStr">
        <is>
          <t>Source/Rationale</t>
        </is>
      </c>
      <c r="F5" s="5" t="inlineStr"/>
      <c r="G5" s="5" t="inlineStr"/>
      <c r="H5" s="5" t="inlineStr"/>
    </row>
    <row r="6">
      <c r="A6" s="6" t="inlineStr">
        <is>
          <t>Existing Client Base (pre-acquisition)</t>
        </is>
      </c>
      <c r="B6" s="10" t="n">
        <v>350</v>
      </c>
      <c r="C6" s="10" t="n">
        <v>500</v>
      </c>
      <c r="D6" s="10" t="n">
        <v>650</v>
      </c>
      <c r="E6" s="6" t="inlineStr">
        <is>
          <t>Seller's claimed client list</t>
        </is>
      </c>
      <c r="F6" s="6" t="inlineStr"/>
      <c r="G6" s="6" t="inlineStr"/>
      <c r="H6" s="6" t="inlineStr"/>
    </row>
    <row r="7">
      <c r="A7" s="6" t="inlineStr">
        <is>
          <t>Post-Acquisition Attrition (Year 1)</t>
        </is>
      </c>
      <c r="B7" s="11" t="n">
        <v>0.25</v>
      </c>
      <c r="C7" s="11" t="n">
        <v>0.2</v>
      </c>
      <c r="D7" s="11" t="n">
        <v>0.15</v>
      </c>
      <c r="E7" s="6" t="inlineStr">
        <is>
          <t>Ownership change churn</t>
        </is>
      </c>
      <c r="F7" s="6" t="inlineStr"/>
      <c r="G7" s="6" t="inlineStr"/>
      <c r="H7" s="6" t="inlineStr"/>
    </row>
    <row r="8">
      <c r="A8" s="6" t="inlineStr">
        <is>
          <t>Retained Clients (Year 1)</t>
        </is>
      </c>
      <c r="B8" s="10" t="n">
        <v>263</v>
      </c>
      <c r="C8" s="10" t="n">
        <v>400</v>
      </c>
      <c r="D8" s="10" t="n">
        <v>553</v>
      </c>
      <c r="E8" s="6" t="inlineStr">
        <is>
          <t>After attrition</t>
        </is>
      </c>
      <c r="F8" s="6" t="inlineStr"/>
      <c r="G8" s="6" t="inlineStr"/>
      <c r="H8" s="6" t="inlineStr"/>
    </row>
    <row r="9">
      <c r="A9" s="6" t="inlineStr">
        <is>
          <t>Average Visit Frequency/Year</t>
        </is>
      </c>
      <c r="B9" s="10" t="n">
        <v>3</v>
      </c>
      <c r="C9" s="10" t="n">
        <v>4</v>
      </c>
      <c r="D9" s="10" t="n">
        <v>6</v>
      </c>
      <c r="E9" s="6" t="inlineStr">
        <is>
          <t>Spa visits per client per year</t>
        </is>
      </c>
      <c r="F9" s="6" t="inlineStr"/>
      <c r="G9" s="6" t="inlineStr"/>
      <c r="H9" s="6" t="inlineStr"/>
    </row>
    <row r="10">
      <c r="A10" s="6" t="inlineStr">
        <is>
          <t>Average Spend per Visit (EUR)</t>
        </is>
      </c>
      <c r="B10" s="10" t="n">
        <v>55</v>
      </c>
      <c r="C10" s="10" t="n">
        <v>70</v>
      </c>
      <c r="D10" s="10" t="n">
        <v>90</v>
      </c>
      <c r="E10" s="6" t="inlineStr">
        <is>
          <t>Treatment + products</t>
        </is>
      </c>
      <c r="F10" s="6" t="inlineStr"/>
      <c r="G10" s="6" t="inlineStr"/>
      <c r="H10" s="6" t="inlineStr"/>
    </row>
    <row r="11">
      <c r="A11" s="6" t="inlineStr">
        <is>
          <t>Revenue per Client per Year (EUR)</t>
        </is>
      </c>
      <c r="B11" s="10" t="n">
        <v>165</v>
      </c>
      <c r="C11" s="10" t="n">
        <v>280</v>
      </c>
      <c r="D11" s="10" t="n">
        <v>540</v>
      </c>
      <c r="E11" s="6" t="inlineStr">
        <is>
          <t>Frequency x Spend</t>
        </is>
      </c>
      <c r="F11" s="6" t="inlineStr"/>
      <c r="G11" s="6" t="inlineStr"/>
      <c r="H11" s="6" t="inlineStr"/>
    </row>
    <row r="12">
      <c r="A12" s="6" t="inlineStr">
        <is>
          <t>Client Lifetime (Years)</t>
        </is>
      </c>
      <c r="B12" s="10" t="n">
        <v>2.5</v>
      </c>
      <c r="C12" s="10" t="n">
        <v>3.5</v>
      </c>
      <c r="D12" s="10" t="n">
        <v>5</v>
      </c>
      <c r="E12" s="6" t="inlineStr">
        <is>
          <t>Before natural churn</t>
        </is>
      </c>
      <c r="F12" s="6" t="inlineStr"/>
      <c r="G12" s="6" t="inlineStr"/>
      <c r="H12" s="6" t="inlineStr"/>
    </row>
    <row r="13">
      <c r="A13" s="6" t="inlineStr">
        <is>
          <t>Customer Lifetime Value (EUR)</t>
        </is>
      </c>
      <c r="B13" s="10" t="n">
        <v>413</v>
      </c>
      <c r="C13" s="10" t="n">
        <v>980</v>
      </c>
      <c r="D13" s="10" t="n">
        <v>2700</v>
      </c>
      <c r="E13" s="6" t="inlineStr">
        <is>
          <t>Annual revenue x lifetime</t>
        </is>
      </c>
      <c r="F13" s="6" t="inlineStr"/>
      <c r="G13" s="6" t="inlineStr"/>
      <c r="H13" s="6" t="inlineStr"/>
    </row>
    <row r="14">
      <c r="A14" s="6" t="inlineStr">
        <is>
          <t>Customer Acquisition Cost (EUR)</t>
        </is>
      </c>
      <c r="B14" s="10" t="n">
        <v>80</v>
      </c>
      <c r="C14" s="10" t="n">
        <v>120</v>
      </c>
      <c r="D14" s="10" t="n">
        <v>180</v>
      </c>
      <c r="E14" s="6" t="inlineStr">
        <is>
          <t>Digital ads + referral incentives</t>
        </is>
      </c>
      <c r="F14" s="6" t="inlineStr"/>
      <c r="G14" s="6" t="inlineStr"/>
      <c r="H14" s="6" t="inlineStr"/>
    </row>
    <row r="15">
      <c r="A15" s="6" t="inlineStr">
        <is>
          <t>LTV/CAC Ratio</t>
        </is>
      </c>
      <c r="B15" s="10" t="n">
        <v>5.2</v>
      </c>
      <c r="C15" s="10" t="n">
        <v>8.199999999999999</v>
      </c>
      <c r="D15" s="10" t="n">
        <v>15</v>
      </c>
      <c r="E15" s="6" t="inlineStr">
        <is>
          <t>Must be &gt;3x for healthy business</t>
        </is>
      </c>
      <c r="F15" s="6" t="inlineStr"/>
      <c r="G15" s="6" t="inlineStr"/>
      <c r="H15" s="6" t="inlineStr"/>
    </row>
    <row r="17" ht="25" customHeight="1">
      <c r="A17" s="18" t="inlineStr">
        <is>
          <t>SPA REVENUE VALIDATION (Base Case)</t>
        </is>
      </c>
    </row>
    <row r="18">
      <c r="A18" s="5" t="inlineStr">
        <is>
          <t>Metric</t>
        </is>
      </c>
      <c r="B18" s="5" t="inlineStr">
        <is>
          <t>Value</t>
        </is>
      </c>
      <c r="C18" s="5" t="inlineStr">
        <is>
          <t>Calculation</t>
        </is>
      </c>
      <c r="D18" s="5" t="inlineStr"/>
      <c r="E18" s="5" t="inlineStr"/>
      <c r="F18" s="5" t="inlineStr"/>
      <c r="G18" s="5" t="inlineStr"/>
      <c r="H18" s="5" t="inlineStr"/>
    </row>
    <row r="19">
      <c r="A19" s="6" t="inlineStr">
        <is>
          <t>Retained Clients After Year 1</t>
        </is>
      </c>
      <c r="B19" s="10" t="n">
        <v>400</v>
      </c>
      <c r="C19" s="6" t="inlineStr">
        <is>
          <t>500 existing x 80% retention</t>
        </is>
      </c>
      <c r="D19" s="6" t="inlineStr"/>
      <c r="E19" s="6" t="inlineStr"/>
      <c r="F19" s="6" t="inlineStr"/>
      <c r="G19" s="6" t="inlineStr"/>
      <c r="H19" s="6" t="inlineStr"/>
    </row>
    <row r="20">
      <c r="A20" s="6" t="inlineStr">
        <is>
          <t>New Clients Acquired Year 1</t>
        </is>
      </c>
      <c r="B20" s="10" t="n">
        <v>50</v>
      </c>
      <c r="C20" s="6" t="inlineStr">
        <is>
          <t>Marketing-driven acquisition</t>
        </is>
      </c>
      <c r="D20" s="6" t="inlineStr"/>
      <c r="E20" s="6" t="inlineStr"/>
      <c r="F20" s="6" t="inlineStr"/>
      <c r="G20" s="6" t="inlineStr"/>
      <c r="H20" s="6" t="inlineStr"/>
    </row>
    <row r="21">
      <c r="A21" s="6" t="inlineStr">
        <is>
          <t>Total Active Clients Year 1</t>
        </is>
      </c>
      <c r="B21" s="10" t="n">
        <v>450</v>
      </c>
      <c r="C21" s="6" t="inlineStr">
        <is>
          <t>Retained + New</t>
        </is>
      </c>
      <c r="D21" s="6" t="inlineStr"/>
      <c r="E21" s="6" t="inlineStr"/>
      <c r="F21" s="6" t="inlineStr"/>
      <c r="G21" s="6" t="inlineStr"/>
      <c r="H21" s="6" t="inlineStr"/>
    </row>
    <row r="22">
      <c r="A22" s="6" t="inlineStr">
        <is>
          <t>Average Revenue per Client/Year</t>
        </is>
      </c>
      <c r="B22" s="10" t="n">
        <v>280</v>
      </c>
      <c r="C22" s="6" t="inlineStr">
        <is>
          <t>4 visits x EUR 70/visit</t>
        </is>
      </c>
      <c r="D22" s="6" t="inlineStr"/>
      <c r="E22" s="6" t="inlineStr"/>
      <c r="F22" s="6" t="inlineStr"/>
      <c r="G22" s="6" t="inlineStr"/>
      <c r="H22" s="6" t="inlineStr"/>
    </row>
    <row r="23">
      <c r="A23" s="6" t="inlineStr">
        <is>
          <t>Implied Annual Spa Revenue</t>
        </is>
      </c>
      <c r="B23" s="10" t="n">
        <v>126000</v>
      </c>
      <c r="C23" s="6" t="inlineStr">
        <is>
          <t>450 clients x EUR 280</t>
        </is>
      </c>
      <c r="D23" s="6" t="inlineStr"/>
      <c r="E23" s="6" t="inlineStr"/>
      <c r="F23" s="6" t="inlineStr"/>
      <c r="G23" s="6" t="inlineStr"/>
      <c r="H23" s="6" t="inlineStr"/>
    </row>
    <row r="24">
      <c r="A24" s="6" t="inlineStr">
        <is>
          <t>Monthly Implied Spa Revenue</t>
        </is>
      </c>
      <c r="B24" s="10" t="n">
        <v>10500</v>
      </c>
      <c r="C24" s="6" t="inlineStr">
        <is>
          <t>EUR 126K / 12</t>
        </is>
      </c>
      <c r="D24" s="6" t="inlineStr"/>
      <c r="E24" s="6" t="inlineStr"/>
      <c r="F24" s="6" t="inlineStr"/>
      <c r="G24" s="6" t="inlineStr"/>
      <c r="H24" s="6" t="inlineStr"/>
    </row>
    <row r="25">
      <c r="A25" s="6" t="inlineStr">
        <is>
          <t>Target Monthly Spa Revenue (Base)</t>
        </is>
      </c>
      <c r="B25" s="10" t="n">
        <v>30000</v>
      </c>
      <c r="C25" s="6" t="inlineStr">
        <is>
          <t>From scenario assumptions</t>
        </is>
      </c>
      <c r="D25" s="6" t="inlineStr"/>
      <c r="E25" s="6" t="inlineStr"/>
      <c r="F25" s="6" t="inlineStr"/>
      <c r="G25" s="6" t="inlineStr"/>
      <c r="H25" s="6" t="inlineStr"/>
    </row>
    <row r="26">
      <c r="A26" s="6" t="inlineStr">
        <is>
          <t>GAP: Additional Revenue Needed/Month</t>
        </is>
      </c>
      <c r="B26" s="10" t="n">
        <v>19500</v>
      </c>
      <c r="C26" s="6" t="inlineStr">
        <is>
          <t>Walk-ins, hotel referrals, events, products</t>
        </is>
      </c>
      <c r="D26" s="6" t="inlineStr"/>
      <c r="E26" s="6" t="inlineStr"/>
      <c r="F26" s="6" t="inlineStr"/>
      <c r="G26" s="6" t="inlineStr"/>
      <c r="H26" s="6" t="inlineStr"/>
    </row>
    <row r="27">
      <c r="A27" s="6" t="inlineStr">
        <is>
          <t>Walk-in &amp; Hotel Referral % of Revenue</t>
        </is>
      </c>
      <c r="B27" s="11" t="n">
        <v>0.65</v>
      </c>
      <c r="C27" s="6" t="inlineStr">
        <is>
          <t>Majority of spa revenue is non-member</t>
        </is>
      </c>
      <c r="D27" s="6" t="inlineStr"/>
      <c r="E27" s="6" t="inlineStr"/>
      <c r="F27" s="6" t="inlineStr"/>
      <c r="G27" s="6" t="inlineStr"/>
      <c r="H27" s="6" t="inlineStr"/>
    </row>
    <row r="28">
      <c r="A28" s="29" t="inlineStr">
        <is>
          <t>KEY INSIGHT: Retained clients alone generate only ~EUR 10.5K/month. The EUR 30K target relies heavily on walk-ins, hotel referrals (65% of revenue), and new acquisition. This validates the need for marketing spend AND the hotel partnership commission (5%).</t>
        </is>
      </c>
    </row>
    <row r="30" ht="25" customHeight="1">
      <c r="A30" s="18" t="inlineStr">
        <is>
          <t>CLINIC CUSTOMER ECONOMICS</t>
        </is>
      </c>
    </row>
    <row r="31">
      <c r="A31" s="5" t="inlineStr">
        <is>
          <t>Metric</t>
        </is>
      </c>
      <c r="B31" s="5" t="inlineStr">
        <is>
          <t>Conservative</t>
        </is>
      </c>
      <c r="C31" s="5" t="inlineStr">
        <is>
          <t>Base Estimate</t>
        </is>
      </c>
      <c r="D31" s="5" t="inlineStr">
        <is>
          <t>Optimistic</t>
        </is>
      </c>
      <c r="E31" s="5" t="inlineStr">
        <is>
          <t>Source/Rationale</t>
        </is>
      </c>
      <c r="F31" s="5" t="inlineStr"/>
      <c r="G31" s="5" t="inlineStr"/>
      <c r="H31" s="5" t="inlineStr"/>
    </row>
    <row r="32">
      <c r="A32" s="6" t="inlineStr">
        <is>
          <t>Spa-to-Clinic Cross-Sell Rate</t>
        </is>
      </c>
      <c r="B32" s="11" t="n">
        <v>0.1</v>
      </c>
      <c r="C32" s="11" t="n">
        <v>0.15</v>
      </c>
      <c r="D32" s="11" t="n">
        <v>0.25</v>
      </c>
      <c r="E32" s="6" t="inlineStr">
        <is>
          <t>% of spa clients who try clinic</t>
        </is>
      </c>
      <c r="F32" s="6" t="inlineStr"/>
      <c r="G32" s="6" t="inlineStr"/>
      <c r="H32" s="6" t="inlineStr"/>
    </row>
    <row r="33">
      <c r="A33" s="6" t="inlineStr">
        <is>
          <t>Cross-Sell Clients (from 450 spa base)</t>
        </is>
      </c>
      <c r="B33" s="10" t="n">
        <v>45</v>
      </c>
      <c r="C33" s="10" t="n">
        <v>68</v>
      </c>
      <c r="D33" s="10" t="n">
        <v>113</v>
      </c>
      <c r="E33" s="6" t="inlineStr">
        <is>
          <t>Initial clinic client seed</t>
        </is>
      </c>
      <c r="F33" s="6" t="inlineStr"/>
      <c r="G33" s="6" t="inlineStr"/>
      <c r="H33" s="6" t="inlineStr"/>
    </row>
    <row r="34">
      <c r="A34" s="6" t="inlineStr">
        <is>
          <t>External Clinic Acquisition/Month</t>
        </is>
      </c>
      <c r="B34" s="10" t="n">
        <v>8</v>
      </c>
      <c r="C34" s="10" t="n">
        <v>15</v>
      </c>
      <c r="D34" s="10" t="n">
        <v>25</v>
      </c>
      <c r="E34" s="6" t="inlineStr">
        <is>
          <t>Digital marketing, referrals, PR</t>
        </is>
      </c>
      <c r="F34" s="6" t="inlineStr"/>
      <c r="G34" s="6" t="inlineStr"/>
      <c r="H34" s="6" t="inlineStr"/>
    </row>
    <row r="35">
      <c r="A35" s="6" t="inlineStr">
        <is>
          <t>Clinic Clients by Year 1 End</t>
        </is>
      </c>
      <c r="B35" s="10" t="n">
        <v>125</v>
      </c>
      <c r="C35" s="10" t="n">
        <v>248</v>
      </c>
      <c r="D35" s="10" t="n">
        <v>413</v>
      </c>
      <c r="E35" s="6" t="inlineStr">
        <is>
          <t>Cross-sell + external acquisition x months</t>
        </is>
      </c>
      <c r="F35" s="6" t="inlineStr"/>
      <c r="G35" s="6" t="inlineStr"/>
      <c r="H35" s="6" t="inlineStr"/>
    </row>
    <row r="36">
      <c r="A36" s="6" t="inlineStr">
        <is>
          <t>Average Clinic Spend per Visit (EUR)</t>
        </is>
      </c>
      <c r="B36" s="10" t="n">
        <v>150</v>
      </c>
      <c r="C36" s="10" t="n">
        <v>200</v>
      </c>
      <c r="D36" s="10" t="n">
        <v>300</v>
      </c>
      <c r="E36" s="6" t="inlineStr">
        <is>
          <t>Medical aesthetic procedure pricing</t>
        </is>
      </c>
      <c r="F36" s="6" t="inlineStr"/>
      <c r="G36" s="6" t="inlineStr"/>
      <c r="H36" s="6" t="inlineStr"/>
    </row>
    <row r="37">
      <c r="A37" s="6" t="inlineStr">
        <is>
          <t>Average Visit Frequency/Year</t>
        </is>
      </c>
      <c r="B37" s="10" t="n">
        <v>2</v>
      </c>
      <c r="C37" s="10" t="n">
        <v>3</v>
      </c>
      <c r="D37" s="10" t="n">
        <v>5</v>
      </c>
      <c r="E37" s="6" t="inlineStr">
        <is>
          <t>Repeat treatment cycles</t>
        </is>
      </c>
      <c r="F37" s="6" t="inlineStr"/>
      <c r="G37" s="6" t="inlineStr"/>
      <c r="H37" s="6" t="inlineStr"/>
    </row>
    <row r="38">
      <c r="A38" s="6" t="inlineStr">
        <is>
          <t>Revenue per Clinic Client/Year (EUR)</t>
        </is>
      </c>
      <c r="B38" s="10" t="n">
        <v>300</v>
      </c>
      <c r="C38" s="10" t="n">
        <v>600</v>
      </c>
      <c r="D38" s="10" t="n">
        <v>1500</v>
      </c>
      <c r="E38" s="6" t="inlineStr">
        <is>
          <t>Frequency x Spend</t>
        </is>
      </c>
      <c r="F38" s="6" t="inlineStr"/>
      <c r="G38" s="6" t="inlineStr"/>
      <c r="H38" s="6" t="inlineStr"/>
    </row>
    <row r="39">
      <c r="A39" s="6" t="inlineStr">
        <is>
          <t>Client Lifetime (Years)</t>
        </is>
      </c>
      <c r="B39" s="10" t="n">
        <v>2</v>
      </c>
      <c r="C39" s="10" t="n">
        <v>3</v>
      </c>
      <c r="D39" s="10" t="n">
        <v>4</v>
      </c>
      <c r="E39" s="6" t="inlineStr">
        <is>
          <t>Procedure cycles</t>
        </is>
      </c>
      <c r="F39" s="6" t="inlineStr"/>
      <c r="G39" s="6" t="inlineStr"/>
      <c r="H39" s="6" t="inlineStr"/>
    </row>
    <row r="40">
      <c r="A40" s="6" t="inlineStr">
        <is>
          <t>Customer Lifetime Value (EUR)</t>
        </is>
      </c>
      <c r="B40" s="10" t="n">
        <v>600</v>
      </c>
      <c r="C40" s="10" t="n">
        <v>1800</v>
      </c>
      <c r="D40" s="10" t="n">
        <v>6000</v>
      </c>
      <c r="E40" s="6" t="inlineStr">
        <is>
          <t>Higher than spa due to premium pricing</t>
        </is>
      </c>
      <c r="F40" s="6" t="inlineStr"/>
      <c r="G40" s="6" t="inlineStr"/>
      <c r="H40" s="6" t="inlineStr"/>
    </row>
    <row r="41">
      <c r="A41" s="6" t="inlineStr">
        <is>
          <t>Customer Acquisition Cost (EUR)</t>
        </is>
      </c>
      <c r="B41" s="10" t="n">
        <v>150</v>
      </c>
      <c r="C41" s="10" t="n">
        <v>250</v>
      </c>
      <c r="D41" s="10" t="n">
        <v>400</v>
      </c>
      <c r="E41" s="6" t="inlineStr">
        <is>
          <t>Higher CAC for medical services</t>
        </is>
      </c>
      <c r="F41" s="6" t="inlineStr"/>
      <c r="G41" s="6" t="inlineStr"/>
      <c r="H41" s="6" t="inlineStr"/>
    </row>
    <row r="42">
      <c r="A42" s="6" t="inlineStr">
        <is>
          <t>LTV/CAC Ratio</t>
        </is>
      </c>
      <c r="B42" s="10" t="n">
        <v>4</v>
      </c>
      <c r="C42" s="10" t="n">
        <v>7.2</v>
      </c>
      <c r="D42" s="10" t="n">
        <v>15</v>
      </c>
      <c r="E42" s="6" t="inlineStr">
        <is>
          <t>Must be &gt;3x; medical has higher CAC but higher LTV</t>
        </is>
      </c>
      <c r="F42" s="6" t="inlineStr"/>
      <c r="G42" s="6" t="inlineStr"/>
      <c r="H42" s="6" t="inlineStr"/>
    </row>
    <row r="44" ht="25" customHeight="1">
      <c r="A44" s="18" t="inlineStr">
        <is>
          <t>CUSTOMER ACQUISITION CHANNEL MIX</t>
        </is>
      </c>
    </row>
    <row r="45">
      <c r="A45" s="5" t="inlineStr">
        <is>
          <t>Channel</t>
        </is>
      </c>
      <c r="B45" s="5" t="inlineStr">
        <is>
          <t>% of New Clients</t>
        </is>
      </c>
      <c r="C45" s="5" t="inlineStr">
        <is>
          <t>CAC (EUR)</t>
        </is>
      </c>
      <c r="D45" s="5" t="inlineStr">
        <is>
          <t>Monthly Budget (EUR)</t>
        </is>
      </c>
      <c r="E45" s="5" t="inlineStr">
        <is>
          <t>Est. Monthly Leads</t>
        </is>
      </c>
      <c r="F45" s="5" t="inlineStr">
        <is>
          <t>Conversion Rate</t>
        </is>
      </c>
      <c r="G45" s="5" t="inlineStr">
        <is>
          <t>New Clients/Month</t>
        </is>
      </c>
      <c r="H45" s="5" t="inlineStr"/>
    </row>
    <row r="46">
      <c r="A46" s="6" t="inlineStr">
        <is>
          <t>Meta Ads (Facebook/Instagram)</t>
        </is>
      </c>
      <c r="B46" s="11" t="n">
        <v>0.35</v>
      </c>
      <c r="C46" s="10" t="n">
        <v>150</v>
      </c>
      <c r="D46" s="10" t="n">
        <v>1500</v>
      </c>
      <c r="E46" s="10" t="n">
        <v>50</v>
      </c>
      <c r="F46" s="11" t="n">
        <v>0.2</v>
      </c>
      <c r="G46" s="10" t="n">
        <v>10</v>
      </c>
      <c r="H46" s="6" t="inlineStr"/>
    </row>
    <row r="47">
      <c r="A47" s="6" t="inlineStr">
        <is>
          <t>Google Ads (Search)</t>
        </is>
      </c>
      <c r="B47" s="11" t="n">
        <v>0.15</v>
      </c>
      <c r="C47" s="10" t="n">
        <v>200</v>
      </c>
      <c r="D47" s="10" t="n">
        <v>800</v>
      </c>
      <c r="E47" s="10" t="n">
        <v>20</v>
      </c>
      <c r="F47" s="11" t="n">
        <v>0.2</v>
      </c>
      <c r="G47" s="10" t="n">
        <v>4</v>
      </c>
      <c r="H47" s="6" t="inlineStr"/>
    </row>
    <row r="48">
      <c r="A48" s="6" t="inlineStr">
        <is>
          <t>Hotel Partnership Referrals</t>
        </is>
      </c>
      <c r="B48" s="11" t="n">
        <v>0.25</v>
      </c>
      <c r="C48" s="10" t="n">
        <v>50</v>
      </c>
      <c r="D48" s="10" t="n">
        <v>250</v>
      </c>
      <c r="E48" s="10" t="n">
        <v>30</v>
      </c>
      <c r="F48" s="11" t="n">
        <v>0.25</v>
      </c>
      <c r="G48" s="10" t="n">
        <v>8</v>
      </c>
      <c r="H48" s="6" t="inlineStr"/>
    </row>
    <row r="49">
      <c r="A49" s="6" t="inlineStr">
        <is>
          <t>Word of Mouth / Referrals</t>
        </is>
      </c>
      <c r="B49" s="11" t="n">
        <v>0.15</v>
      </c>
      <c r="C49" s="10" t="n">
        <v>30</v>
      </c>
      <c r="D49" s="10" t="n">
        <v>150</v>
      </c>
      <c r="E49" s="10" t="n">
        <v>20</v>
      </c>
      <c r="F49" s="11" t="n">
        <v>0.4</v>
      </c>
      <c r="G49" s="10" t="n">
        <v>8</v>
      </c>
      <c r="H49" s="6" t="inlineStr"/>
    </row>
    <row r="50">
      <c r="A50" s="6" t="inlineStr">
        <is>
          <t>Local PR / Events</t>
        </is>
      </c>
      <c r="B50" s="11" t="n">
        <v>0.1</v>
      </c>
      <c r="C50" s="10" t="n">
        <v>100</v>
      </c>
      <c r="D50" s="10" t="n">
        <v>300</v>
      </c>
      <c r="E50" s="10" t="n">
        <v>15</v>
      </c>
      <c r="F50" s="11" t="n">
        <v>0.15</v>
      </c>
      <c r="G50" s="10" t="n">
        <v>2</v>
      </c>
      <c r="H50" s="6" t="inlineStr"/>
    </row>
    <row r="51">
      <c r="A51" s="21" t="inlineStr">
        <is>
          <t>TOTAL</t>
        </is>
      </c>
      <c r="B51" s="48" t="n">
        <v>1</v>
      </c>
      <c r="C51" s="21" t="inlineStr"/>
      <c r="D51" s="22" t="n">
        <v>3000</v>
      </c>
      <c r="E51" s="22" t="n">
        <v>135</v>
      </c>
      <c r="F51" s="48" t="n">
        <v>0.24</v>
      </c>
      <c r="G51" s="22" t="n">
        <v>32</v>
      </c>
      <c r="H51" s="21" t="inlineStr"/>
    </row>
    <row r="53" ht="25" customHeight="1">
      <c r="A53" s="18" t="inlineStr">
        <is>
          <t>5-YEAR CUSTOMER BASE PROJECTION (Base Case)</t>
        </is>
      </c>
    </row>
    <row r="54">
      <c r="A54" s="5" t="inlineStr">
        <is>
          <t>Metric</t>
        </is>
      </c>
      <c r="B54" s="5" t="inlineStr">
        <is>
          <t>Year 1</t>
        </is>
      </c>
      <c r="C54" s="5" t="inlineStr">
        <is>
          <t>Year 2</t>
        </is>
      </c>
      <c r="D54" s="5" t="inlineStr">
        <is>
          <t>Year 3</t>
        </is>
      </c>
      <c r="E54" s="5" t="inlineStr">
        <is>
          <t>Year 4</t>
        </is>
      </c>
      <c r="F54" s="5" t="inlineStr">
        <is>
          <t>Year 5</t>
        </is>
      </c>
      <c r="G54" s="5" t="inlineStr"/>
      <c r="H54" s="5" t="inlineStr"/>
    </row>
    <row r="55">
      <c r="A55" s="6" t="inlineStr">
        <is>
          <t>Starting Clients</t>
        </is>
      </c>
      <c r="B55" s="10" t="n">
        <v>400</v>
      </c>
      <c r="C55" s="10" t="n">
        <v>660</v>
      </c>
      <c r="D55" s="10" t="n">
        <v>945</v>
      </c>
      <c r="E55" s="10" t="n">
        <v>1187</v>
      </c>
      <c r="F55" s="10" t="n">
        <v>1393</v>
      </c>
      <c r="G55" s="6" t="inlineStr"/>
      <c r="H55" s="6" t="inlineStr"/>
    </row>
    <row r="56">
      <c r="A56" s="6" t="inlineStr">
        <is>
          <t>New Clients Acquired</t>
        </is>
      </c>
      <c r="B56" s="10" t="n">
        <v>320</v>
      </c>
      <c r="C56" s="10" t="n">
        <v>384</v>
      </c>
      <c r="D56" s="10" t="n">
        <v>384</v>
      </c>
      <c r="E56" s="10" t="n">
        <v>384</v>
      </c>
      <c r="F56" s="10" t="n">
        <v>384</v>
      </c>
      <c r="G56" s="6" t="inlineStr"/>
      <c r="H56" s="6" t="inlineStr"/>
    </row>
    <row r="57">
      <c r="A57" s="6" t="inlineStr">
        <is>
          <t>Clients Churned (15%)</t>
        </is>
      </c>
      <c r="B57" s="10" t="n">
        <v>60</v>
      </c>
      <c r="C57" s="10" t="n">
        <v>99</v>
      </c>
      <c r="D57" s="10" t="n">
        <v>142</v>
      </c>
      <c r="E57" s="10" t="n">
        <v>178</v>
      </c>
      <c r="F57" s="10" t="n">
        <v>209</v>
      </c>
      <c r="G57" s="6" t="inlineStr"/>
      <c r="H57" s="6" t="inlineStr"/>
    </row>
    <row r="58">
      <c r="A58" s="23" t="inlineStr">
        <is>
          <t>Ending Client Base</t>
        </is>
      </c>
      <c r="B58" s="24" t="n">
        <v>660</v>
      </c>
      <c r="C58" s="24" t="n">
        <v>945</v>
      </c>
      <c r="D58" s="24" t="n">
        <v>1187</v>
      </c>
      <c r="E58" s="24" t="n">
        <v>1393</v>
      </c>
      <c r="F58" s="24" t="n">
        <v>1568</v>
      </c>
      <c r="G58" s="23" t="inlineStr"/>
      <c r="H58" s="23" t="inlineStr"/>
    </row>
  </sheetData>
  <mergeCells count="8">
    <mergeCell ref="A4:H4"/>
    <mergeCell ref="A30:H30"/>
    <mergeCell ref="A53:H53"/>
    <mergeCell ref="A2:H2"/>
    <mergeCell ref="A28:H28"/>
    <mergeCell ref="A44:H44"/>
    <mergeCell ref="A1:H1"/>
    <mergeCell ref="A17:H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D7D31"/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5" customHeight="1">
      <c r="A1" s="1" t="inlineStr">
        <is>
          <t>SCENARIO PROBABILITY &amp; EXPECTED VALUE ANALYSIS</t>
        </is>
      </c>
    </row>
    <row r="2">
      <c r="A2" s="17" t="inlineStr">
        <is>
          <t>PURPOSE: Assigns probabilities to each scenario and calculates probability-weighted Expected Value (EV) for all key metrics. This was completely absent in v1.0.</t>
        </is>
      </c>
    </row>
    <row r="4" ht="25" customHeight="1">
      <c r="A4" s="18" t="inlineStr">
        <is>
          <t>SCENARIO PROBABILITY ASSIGNMENT</t>
        </is>
      </c>
    </row>
    <row r="5">
      <c r="A5" s="5" t="inlineStr">
        <is>
          <t>Scenario</t>
        </is>
      </c>
      <c r="B5" s="5" t="inlineStr">
        <is>
          <t>Probability</t>
        </is>
      </c>
      <c r="C5" s="5" t="inlineStr">
        <is>
          <t>Rationale</t>
        </is>
      </c>
      <c r="D5" s="5" t="inlineStr"/>
      <c r="E5" s="5" t="inlineStr"/>
      <c r="F5" s="5" t="inlineStr"/>
      <c r="G5" s="5" t="inlineStr"/>
    </row>
    <row r="6">
      <c r="A6" s="6" t="inlineStr">
        <is>
          <t>BEAR (25%)</t>
        </is>
      </c>
      <c r="B6" s="11" t="n">
        <v>0.25</v>
      </c>
      <c r="C6" s="6" t="inlineStr">
        <is>
          <t>Clinic underperforms, spa flat, slow acquisition. Represents execution risk + market softness.</t>
        </is>
      </c>
      <c r="D6" s="6" t="inlineStr"/>
      <c r="E6" s="6" t="inlineStr"/>
      <c r="F6" s="6" t="inlineStr"/>
      <c r="G6" s="6" t="inlineStr"/>
    </row>
    <row r="7">
      <c r="A7" s="6" t="inlineStr">
        <is>
          <t>BASE (50%)</t>
        </is>
      </c>
      <c r="B7" s="11" t="n">
        <v>0.5</v>
      </c>
      <c r="C7" s="6" t="inlineStr">
        <is>
          <t>Moderate clinic success, steady spa growth. Most likely given Malta market and Carisma brand.</t>
        </is>
      </c>
      <c r="D7" s="6" t="inlineStr"/>
      <c r="E7" s="6" t="inlineStr"/>
      <c r="F7" s="6" t="inlineStr"/>
      <c r="G7" s="6" t="inlineStr"/>
    </row>
    <row r="8">
      <c r="A8" s="6" t="inlineStr">
        <is>
          <t>BULL (25%)</t>
        </is>
      </c>
      <c r="B8" s="11" t="n">
        <v>0.25</v>
      </c>
      <c r="C8" s="6" t="inlineStr">
        <is>
          <t>Strong clinic uptake, cross-sell success, word-of-mouth. Achievable but requires everything to work.</t>
        </is>
      </c>
      <c r="D8" s="6" t="inlineStr"/>
      <c r="E8" s="6" t="inlineStr"/>
      <c r="F8" s="6" t="inlineStr"/>
      <c r="G8" s="6" t="inlineStr"/>
    </row>
    <row r="10" ht="25" customHeight="1">
      <c r="A10" s="18" t="inlineStr">
        <is>
          <t>PROBABILITY-WEIGHTED EXPECTED VALUES</t>
        </is>
      </c>
    </row>
    <row r="11">
      <c r="A11" s="5" t="inlineStr">
        <is>
          <t>Metric</t>
        </is>
      </c>
      <c r="B11" s="5" t="inlineStr">
        <is>
          <t>Bear (25%)</t>
        </is>
      </c>
      <c r="C11" s="5" t="inlineStr">
        <is>
          <t>Base (50%)</t>
        </is>
      </c>
      <c r="D11" s="5" t="inlineStr">
        <is>
          <t>Bull (25%)</t>
        </is>
      </c>
      <c r="E11" s="5" t="inlineStr">
        <is>
          <t>Expected Value</t>
        </is>
      </c>
      <c r="F11" s="5" t="inlineStr">
        <is>
          <t>Bear Weighted</t>
        </is>
      </c>
      <c r="G11" s="5" t="inlineStr">
        <is>
          <t>Bull Weighted</t>
        </is>
      </c>
    </row>
    <row r="12">
      <c r="A12" s="6" t="inlineStr">
        <is>
          <t>Year 1 Revenue</t>
        </is>
      </c>
      <c r="B12" s="10" t="n">
        <v>440250</v>
      </c>
      <c r="C12" s="10" t="n">
        <v>576000</v>
      </c>
      <c r="D12" s="10" t="n">
        <v>943500</v>
      </c>
      <c r="E12" s="10" t="n">
        <v>633937.5</v>
      </c>
      <c r="F12" s="10" t="n">
        <v>110062.5</v>
      </c>
      <c r="G12" s="10" t="n">
        <v>235875</v>
      </c>
    </row>
    <row r="13">
      <c r="A13" s="6" t="inlineStr">
        <is>
          <t>Year 1 EBITDA</t>
        </is>
      </c>
      <c r="B13" s="10" t="n">
        <v>-6750</v>
      </c>
      <c r="C13" s="10" t="n">
        <v>80947</v>
      </c>
      <c r="D13" s="10" t="n">
        <v>333753</v>
      </c>
      <c r="E13" s="10" t="n">
        <v>122224.25</v>
      </c>
      <c r="F13" s="10" t="n">
        <v>-1687.5</v>
      </c>
      <c r="G13" s="10" t="n">
        <v>83438.25</v>
      </c>
    </row>
    <row r="14">
      <c r="A14" s="6" t="inlineStr">
        <is>
          <t>Year 13 Revenue</t>
        </is>
      </c>
      <c r="B14" s="10" t="n">
        <v>969762.4160519502</v>
      </c>
      <c r="C14" s="10" t="n">
        <v>1293016.554735934</v>
      </c>
      <c r="D14" s="10" t="n">
        <v>2155027.591226556</v>
      </c>
      <c r="E14" s="10" t="n">
        <v>1427705.779187593</v>
      </c>
      <c r="F14" s="10" t="n">
        <v>242440.6040129875</v>
      </c>
      <c r="G14" s="10" t="n">
        <v>538756.897806639</v>
      </c>
    </row>
    <row r="15">
      <c r="A15" s="6" t="inlineStr">
        <is>
          <t>Year 13 EBITDA</t>
        </is>
      </c>
      <c r="B15" s="10" t="n">
        <v>228600.3166857803</v>
      </c>
      <c r="C15" s="10" t="n">
        <v>436075.9375076544</v>
      </c>
      <c r="D15" s="10" t="n">
        <v>1048157.988582314</v>
      </c>
      <c r="E15" s="10" t="n">
        <v>537227.5450708508</v>
      </c>
      <c r="F15" s="10" t="n">
        <v>57150.07917144508</v>
      </c>
      <c r="G15" s="10" t="n">
        <v>262039.4971455786</v>
      </c>
    </row>
    <row r="16">
      <c r="A16" s="23" t="inlineStr">
        <is>
          <t>IRR (Unlevered)</t>
        </is>
      </c>
      <c r="B16" s="41" t="n">
        <v>0.1280394378118217</v>
      </c>
      <c r="C16" s="41" t="n">
        <v>0.3239220348186791</v>
      </c>
      <c r="D16" s="41" t="n">
        <v>0.8180424575693905</v>
      </c>
      <c r="E16" s="41" t="n">
        <v>0.3984814912546426</v>
      </c>
      <c r="F16" s="41" t="n">
        <v>0.03200985945295542</v>
      </c>
      <c r="G16" s="41" t="n">
        <v>0.2045106143923476</v>
      </c>
    </row>
    <row r="17">
      <c r="A17" s="6" t="inlineStr">
        <is>
          <t>Payback Period (Years)</t>
        </is>
      </c>
      <c r="B17" s="42" t="n">
        <v>7.562743770750734</v>
      </c>
      <c r="C17" s="42" t="n">
        <v>3.669598094485241</v>
      </c>
      <c r="D17" s="42" t="n">
        <v>1.495435760782989</v>
      </c>
      <c r="E17" s="42" t="n">
        <v>4.099343930126051</v>
      </c>
      <c r="F17" s="42" t="n">
        <v>1.890685942687683</v>
      </c>
      <c r="G17" s="42" t="n">
        <v>0.3738589401957473</v>
      </c>
    </row>
    <row r="18">
      <c r="A18" s="23" t="inlineStr">
        <is>
          <t>MOIC (13-Year)</t>
        </is>
      </c>
      <c r="B18" s="43" t="n">
        <v>2.885472</v>
      </c>
      <c r="C18" s="43" t="n">
        <v>6.559158</v>
      </c>
      <c r="D18" s="43" t="n">
        <v>17.693052</v>
      </c>
      <c r="E18" s="43" t="n">
        <v>8.42421</v>
      </c>
      <c r="F18" s="43" t="n">
        <v>0.721368</v>
      </c>
      <c r="G18" s="43" t="n">
        <v>4.423263</v>
      </c>
    </row>
    <row r="19">
      <c r="A19" s="23" t="inlineStr">
        <is>
          <t>NPV (at 18%)</t>
        </is>
      </c>
      <c r="B19" s="24" t="n">
        <v>-148622.7694136097</v>
      </c>
      <c r="C19" s="24" t="n">
        <v>466668.813806582</v>
      </c>
      <c r="D19" s="24" t="n">
        <v>2294110.501447026</v>
      </c>
      <c r="E19" s="24" t="n">
        <v>769706.339911645</v>
      </c>
      <c r="F19" s="24" t="n">
        <v>-37155.69235340242</v>
      </c>
      <c r="G19" s="24" t="n">
        <v>573527.6253617564</v>
      </c>
    </row>
    <row r="20">
      <c r="A20" s="6" t="inlineStr">
        <is>
          <t>Cumulative UFCF (13 Years)</t>
        </is>
      </c>
      <c r="B20" s="10" t="n">
        <v>1404974</v>
      </c>
      <c r="C20" s="10" t="n">
        <v>3279579</v>
      </c>
      <c r="D20" s="10" t="n">
        <v>8846526</v>
      </c>
      <c r="E20" s="10" t="n">
        <v>4202664.5</v>
      </c>
      <c r="F20" s="10" t="n">
        <v>351243.5</v>
      </c>
      <c r="G20" s="10" t="n">
        <v>2211631.5</v>
      </c>
    </row>
    <row r="22" ht="25" customHeight="1">
      <c r="A22" s="18" t="inlineStr">
        <is>
          <t>INVESTMENT DECISION MATRIX</t>
        </is>
      </c>
    </row>
    <row r="23">
      <c r="A23" s="5" t="inlineStr">
        <is>
          <t>Decision Criteria</t>
        </is>
      </c>
      <c r="B23" s="5" t="inlineStr">
        <is>
          <t>Threshold</t>
        </is>
      </c>
      <c r="C23" s="5" t="inlineStr">
        <is>
          <t>Result</t>
        </is>
      </c>
      <c r="D23" s="5" t="inlineStr">
        <is>
          <t>Pass/Fail</t>
        </is>
      </c>
      <c r="E23" s="5" t="inlineStr"/>
      <c r="F23" s="5" t="inlineStr"/>
      <c r="G23" s="5" t="inlineStr"/>
    </row>
    <row r="24">
      <c r="A24" s="30" t="inlineStr">
        <is>
          <t>Expected IRR &gt; Cost of Capital (18%)</t>
        </is>
      </c>
      <c r="B24" s="30" t="inlineStr">
        <is>
          <t>IRR &gt; 18%</t>
        </is>
      </c>
      <c r="C24" s="30" t="inlineStr">
        <is>
          <t>39.8%</t>
        </is>
      </c>
      <c r="D24" s="30" t="inlineStr">
        <is>
          <t>PASS</t>
        </is>
      </c>
      <c r="E24" s="30" t="inlineStr"/>
      <c r="F24" s="30" t="inlineStr"/>
      <c r="G24" s="30" t="inlineStr"/>
    </row>
    <row r="25">
      <c r="A25" s="30" t="inlineStr">
        <is>
          <t>Expected NPV &gt; 0</t>
        </is>
      </c>
      <c r="B25" s="30" t="inlineStr">
        <is>
          <t>NPV &gt; EUR 0</t>
        </is>
      </c>
      <c r="C25" s="30" t="inlineStr">
        <is>
          <t>EUR 769,706</t>
        </is>
      </c>
      <c r="D25" s="30" t="inlineStr">
        <is>
          <t>PASS</t>
        </is>
      </c>
      <c r="E25" s="30" t="inlineStr"/>
      <c r="F25" s="30" t="inlineStr"/>
      <c r="G25" s="30" t="inlineStr"/>
    </row>
    <row r="26">
      <c r="A26" s="30" t="inlineStr">
        <is>
          <t>Expected MOIC &gt; 2.0x</t>
        </is>
      </c>
      <c r="B26" s="30" t="inlineStr">
        <is>
          <t>MOIC &gt; 2.0x</t>
        </is>
      </c>
      <c r="C26" s="30" t="inlineStr">
        <is>
          <t>8.42x</t>
        </is>
      </c>
      <c r="D26" s="30" t="inlineStr">
        <is>
          <t>PASS</t>
        </is>
      </c>
      <c r="E26" s="30" t="inlineStr"/>
      <c r="F26" s="30" t="inlineStr"/>
      <c r="G26" s="30" t="inlineStr"/>
    </row>
    <row r="27">
      <c r="A27" s="30" t="inlineStr">
        <is>
          <t>Expected Payback &lt; 5 Years</t>
        </is>
      </c>
      <c r="B27" s="30" t="inlineStr">
        <is>
          <t>Payback &lt; 5yr</t>
        </is>
      </c>
      <c r="C27" s="30" t="inlineStr">
        <is>
          <t>4.1 years</t>
        </is>
      </c>
      <c r="D27" s="30" t="inlineStr">
        <is>
          <t>PASS</t>
        </is>
      </c>
      <c r="E27" s="30" t="inlineStr"/>
      <c r="F27" s="30" t="inlineStr"/>
      <c r="G27" s="30" t="inlineStr"/>
    </row>
    <row r="28">
      <c r="A28" s="30" t="inlineStr">
        <is>
          <t>Bear Case NPV &gt; -Investment</t>
        </is>
      </c>
      <c r="B28" s="30" t="inlineStr">
        <is>
          <t>Bear NPV &gt; -500K</t>
        </is>
      </c>
      <c r="C28" s="30" t="inlineStr">
        <is>
          <t>EUR -148,623</t>
        </is>
      </c>
      <c r="D28" s="30" t="inlineStr">
        <is>
          <t>PASS</t>
        </is>
      </c>
      <c r="E28" s="30" t="inlineStr"/>
      <c r="F28" s="30" t="inlineStr"/>
      <c r="G28" s="30" t="inlineStr"/>
    </row>
    <row r="29">
      <c r="A29" s="30" t="inlineStr">
        <is>
          <t>Bear Case Still Profitable</t>
        </is>
      </c>
      <c r="B29" s="30" t="inlineStr">
        <is>
          <t>Bear MOIC &gt; 1.0x</t>
        </is>
      </c>
      <c r="C29" s="30" t="inlineStr">
        <is>
          <t>2.89x</t>
        </is>
      </c>
      <c r="D29" s="30" t="inlineStr">
        <is>
          <t>PASS</t>
        </is>
      </c>
      <c r="E29" s="30" t="inlineStr"/>
      <c r="F29" s="30" t="inlineStr"/>
      <c r="G29" s="30" t="inlineStr"/>
    </row>
    <row r="31" ht="25" customHeight="1">
      <c r="A31" s="18" t="inlineStr">
        <is>
          <t>SENSITIVITY: EXPECTED NPV BY PROBABILITY WEIGHTS</t>
        </is>
      </c>
    </row>
    <row r="32">
      <c r="A32" s="28" t="inlineStr">
        <is>
          <t>What if we change the probability weights? Shows impact on Expected NPV.</t>
        </is>
      </c>
    </row>
    <row r="33">
      <c r="A33" s="5" t="inlineStr">
        <is>
          <t>Weight Set</t>
        </is>
      </c>
      <c r="B33" s="5" t="inlineStr">
        <is>
          <t>Bear Prob</t>
        </is>
      </c>
      <c r="C33" s="5" t="inlineStr">
        <is>
          <t>Base Prob</t>
        </is>
      </c>
      <c r="D33" s="5" t="inlineStr">
        <is>
          <t>Bull Prob</t>
        </is>
      </c>
      <c r="E33" s="5" t="inlineStr">
        <is>
          <t>Expected NPV</t>
        </is>
      </c>
      <c r="F33" s="5" t="inlineStr">
        <is>
          <t>Expected IRR</t>
        </is>
      </c>
      <c r="G33" s="5" t="inlineStr">
        <is>
          <t>Expected MOIC</t>
        </is>
      </c>
    </row>
    <row r="34">
      <c r="A34" s="6" t="inlineStr">
        <is>
          <t>Pessimistic</t>
        </is>
      </c>
      <c r="B34" s="11" t="n">
        <v>0.4</v>
      </c>
      <c r="C34" s="11" t="n">
        <v>0.4</v>
      </c>
      <c r="D34" s="11" t="n">
        <v>0.2</v>
      </c>
      <c r="E34" s="10" t="n">
        <v>586041</v>
      </c>
      <c r="F34" s="44" t="n">
        <v>0.3443930805660784</v>
      </c>
      <c r="G34" s="42" t="n">
        <v>7.316462400000001</v>
      </c>
    </row>
    <row r="35">
      <c r="A35" s="40" t="inlineStr">
        <is>
          <t>Balanced (Default)</t>
        </is>
      </c>
      <c r="B35" s="38" t="n">
        <v>0.25</v>
      </c>
      <c r="C35" s="38" t="n">
        <v>0.5</v>
      </c>
      <c r="D35" s="38" t="n">
        <v>0.25</v>
      </c>
      <c r="E35" s="39" t="n">
        <v>769706</v>
      </c>
      <c r="F35" s="45" t="n">
        <v>0.3984814912546426</v>
      </c>
      <c r="G35" s="46" t="n">
        <v>8.42421</v>
      </c>
    </row>
    <row r="36">
      <c r="A36" s="6" t="inlineStr">
        <is>
          <t>Optimistic</t>
        </is>
      </c>
      <c r="B36" s="11" t="n">
        <v>0.15</v>
      </c>
      <c r="C36" s="11" t="n">
        <v>0.5</v>
      </c>
      <c r="D36" s="11" t="n">
        <v>0.35</v>
      </c>
      <c r="E36" s="10" t="n">
        <v>1013980</v>
      </c>
      <c r="F36" s="44" t="n">
        <v>0.4674817932303995</v>
      </c>
      <c r="G36" s="42" t="n">
        <v>9.904968</v>
      </c>
    </row>
    <row r="37">
      <c r="A37" s="6" t="inlineStr">
        <is>
          <t>Conservative</t>
        </is>
      </c>
      <c r="B37" s="11" t="n">
        <v>0.5</v>
      </c>
      <c r="C37" s="11" t="n">
        <v>0.35</v>
      </c>
      <c r="D37" s="11" t="n">
        <v>0.15</v>
      </c>
      <c r="E37" s="10" t="n">
        <v>433139</v>
      </c>
      <c r="F37" s="44" t="n">
        <v>0.3000987997278571</v>
      </c>
      <c r="G37" s="42" t="n">
        <v>6.3923991</v>
      </c>
    </row>
    <row r="38">
      <c r="A38" s="6" t="inlineStr">
        <is>
          <t>Equal Weight</t>
        </is>
      </c>
      <c r="B38" s="11" t="n">
        <v>0.333</v>
      </c>
      <c r="C38" s="11" t="n">
        <v>0.334</v>
      </c>
      <c r="D38" s="11" t="n">
        <v>0.333</v>
      </c>
      <c r="E38" s="10" t="n">
        <v>870315</v>
      </c>
      <c r="F38" s="44" t="n">
        <v>0.4232352307913825</v>
      </c>
      <c r="G38" s="42" t="n">
        <v>9.043407264000001</v>
      </c>
    </row>
  </sheetData>
  <mergeCells count="7">
    <mergeCell ref="A32:G32"/>
    <mergeCell ref="A1:G1"/>
    <mergeCell ref="A31:G31"/>
    <mergeCell ref="A22:G22"/>
    <mergeCell ref="A4:G4"/>
    <mergeCell ref="A2:G2"/>
    <mergeCell ref="A10:G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B0F0"/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5" customHeight="1">
      <c r="A1" s="1" t="inlineStr">
        <is>
          <t>EXIT ANALYSIS - RETURNS AT YEAR 5, 8, AND 13 UNDER EACH SCENARIO</t>
        </is>
      </c>
    </row>
    <row r="2">
      <c r="A2" s="9" t="inlineStr">
        <is>
          <t>PURPOSE: Shows what returns look like if you exit at different points. Exit value assumes sale at 4-6x trailing EBITDA (market multiple for wellness businesses). Absent from v1.0.</t>
        </is>
      </c>
    </row>
    <row r="4" ht="25" customHeight="1">
      <c r="A4" s="18" t="inlineStr">
        <is>
          <t>EXIT RETURNS - BEAR CASE</t>
        </is>
      </c>
    </row>
    <row r="5">
      <c r="A5" s="5" t="inlineStr">
        <is>
          <t>Metric</t>
        </is>
      </c>
      <c r="B5" s="5" t="inlineStr">
        <is>
          <t>Exit Year 5 (4x)</t>
        </is>
      </c>
      <c r="C5" s="5" t="inlineStr">
        <is>
          <t>Exit Year 5 (5x)</t>
        </is>
      </c>
      <c r="D5" s="5" t="inlineStr">
        <is>
          <t>Exit Year 5 (6x)</t>
        </is>
      </c>
      <c r="E5" s="5" t="inlineStr">
        <is>
          <t>Exit Year 8 (4x)</t>
        </is>
      </c>
      <c r="F5" s="5" t="inlineStr">
        <is>
          <t>Exit Year 8 (5x)</t>
        </is>
      </c>
      <c r="G5" s="5" t="inlineStr">
        <is>
          <t>Exit Year 8 (6x)</t>
        </is>
      </c>
      <c r="H5" s="5" t="inlineStr">
        <is>
          <t>Exit Year 13 (4x)</t>
        </is>
      </c>
      <c r="I5" s="5" t="inlineStr">
        <is>
          <t>Exit Year 13 (5x)</t>
        </is>
      </c>
      <c r="J5" s="5" t="inlineStr">
        <is>
          <t>Exit Year 13 (6x)</t>
        </is>
      </c>
    </row>
    <row r="6">
      <c r="A6" s="6" t="inlineStr">
        <is>
          <t>Cumulative UFCF to Exit</t>
        </is>
      </c>
      <c r="B6" s="10" t="n">
        <v>220604</v>
      </c>
      <c r="C6" s="10" t="n">
        <v>220604</v>
      </c>
      <c r="D6" s="10" t="n">
        <v>220604</v>
      </c>
      <c r="E6" s="10" t="n">
        <v>554260</v>
      </c>
      <c r="F6" s="10" t="n">
        <v>554260</v>
      </c>
      <c r="G6" s="10" t="n">
        <v>554260</v>
      </c>
      <c r="H6" s="10" t="n">
        <v>1404974</v>
      </c>
      <c r="I6" s="10" t="n">
        <v>1404974</v>
      </c>
      <c r="J6" s="10" t="n">
        <v>1404974</v>
      </c>
    </row>
    <row r="7">
      <c r="A7" s="6" t="inlineStr">
        <is>
          <t>Exit Year EBITDA</t>
        </is>
      </c>
      <c r="B7" s="10" t="n">
        <v>95648</v>
      </c>
      <c r="C7" s="10" t="n">
        <v>95648</v>
      </c>
      <c r="D7" s="10" t="n">
        <v>95648</v>
      </c>
      <c r="E7" s="10" t="n">
        <v>142210</v>
      </c>
      <c r="F7" s="10" t="n">
        <v>142210</v>
      </c>
      <c r="G7" s="10" t="n">
        <v>142210</v>
      </c>
      <c r="H7" s="10" t="n">
        <v>228600</v>
      </c>
      <c r="I7" s="10" t="n">
        <v>228600</v>
      </c>
      <c r="J7" s="10" t="n">
        <v>228600</v>
      </c>
    </row>
    <row r="8">
      <c r="A8" s="6" t="inlineStr">
        <is>
          <t>Sale Proceeds (EBITDA x Multiple)</t>
        </is>
      </c>
      <c r="B8" s="10" t="n">
        <v>382592</v>
      </c>
      <c r="C8" s="10" t="n">
        <v>478240</v>
      </c>
      <c r="D8" s="10" t="n">
        <v>573888</v>
      </c>
      <c r="E8" s="10" t="n">
        <v>568840</v>
      </c>
      <c r="F8" s="10" t="n">
        <v>711051</v>
      </c>
      <c r="G8" s="10" t="n">
        <v>853261</v>
      </c>
      <c r="H8" s="10" t="n">
        <v>914401</v>
      </c>
      <c r="I8" s="10" t="n">
        <v>1143002</v>
      </c>
      <c r="J8" s="10" t="n">
        <v>1371602</v>
      </c>
    </row>
    <row r="9">
      <c r="A9" s="23" t="inlineStr">
        <is>
          <t>TOTAL RETURN</t>
        </is>
      </c>
      <c r="B9" s="24" t="n">
        <v>603196</v>
      </c>
      <c r="C9" s="24" t="n">
        <v>698844</v>
      </c>
      <c r="D9" s="24" t="n">
        <v>794492</v>
      </c>
      <c r="E9" s="24" t="n">
        <v>1123100</v>
      </c>
      <c r="F9" s="24" t="n">
        <v>1265311</v>
      </c>
      <c r="G9" s="24" t="n">
        <v>1407521</v>
      </c>
      <c r="H9" s="24" t="n">
        <v>2319375</v>
      </c>
      <c r="I9" s="24" t="n">
        <v>2547976</v>
      </c>
      <c r="J9" s="24" t="n">
        <v>2776576</v>
      </c>
    </row>
    <row r="10">
      <c r="A10" s="12" t="inlineStr">
        <is>
          <t>NET PROFIT (after EUR 500K investment)</t>
        </is>
      </c>
      <c r="B10" s="16" t="n">
        <v>103196</v>
      </c>
      <c r="C10" s="16" t="n">
        <v>198844</v>
      </c>
      <c r="D10" s="16" t="n">
        <v>294492</v>
      </c>
      <c r="E10" s="16" t="n">
        <v>623100</v>
      </c>
      <c r="F10" s="16" t="n">
        <v>765311</v>
      </c>
      <c r="G10" s="16" t="n">
        <v>907521</v>
      </c>
      <c r="H10" s="16" t="n">
        <v>1819375</v>
      </c>
      <c r="I10" s="16" t="n">
        <v>2047976</v>
      </c>
      <c r="J10" s="16" t="n">
        <v>2276576</v>
      </c>
    </row>
    <row r="11">
      <c r="A11" s="23" t="inlineStr">
        <is>
          <t>MOIC (Total Return / Investment)</t>
        </is>
      </c>
      <c r="B11" s="43" t="n">
        <v>1.21</v>
      </c>
      <c r="C11" s="43" t="n">
        <v>1.4</v>
      </c>
      <c r="D11" s="43" t="n">
        <v>1.59</v>
      </c>
      <c r="E11" s="43" t="n">
        <v>2.25</v>
      </c>
      <c r="F11" s="43" t="n">
        <v>2.53</v>
      </c>
      <c r="G11" s="43" t="n">
        <v>2.82</v>
      </c>
      <c r="H11" s="43" t="n">
        <v>4.64</v>
      </c>
      <c r="I11" s="43" t="n">
        <v>5.1</v>
      </c>
      <c r="J11" s="43" t="n">
        <v>5.55</v>
      </c>
    </row>
    <row r="12">
      <c r="A12" s="12" t="inlineStr">
        <is>
          <t>IRR (with exit proceeds)</t>
        </is>
      </c>
      <c r="B12" s="49" t="n">
        <v>0.04073512041941285</v>
      </c>
      <c r="C12" s="49" t="n">
        <v>0.07320468360558152</v>
      </c>
      <c r="D12" s="49" t="n">
        <v>0.1019614790566266</v>
      </c>
      <c r="E12" s="49" t="n">
        <v>0.1256437194533646</v>
      </c>
      <c r="F12" s="49" t="n">
        <v>0.1430896525271237</v>
      </c>
      <c r="G12" s="49" t="n">
        <v>0.1586637017317116</v>
      </c>
      <c r="H12" s="49" t="n">
        <v>0.1683948650024831</v>
      </c>
      <c r="I12" s="49" t="n">
        <v>0.1758824721910059</v>
      </c>
      <c r="J12" s="49" t="n">
        <v>0.1827344973571599</v>
      </c>
    </row>
    <row r="14" ht="25" customHeight="1">
      <c r="A14" s="18" t="inlineStr">
        <is>
          <t>EXIT RETURNS - BASE CASE</t>
        </is>
      </c>
    </row>
    <row r="15">
      <c r="A15" s="5" t="inlineStr">
        <is>
          <t>Metric</t>
        </is>
      </c>
      <c r="B15" s="5" t="inlineStr">
        <is>
          <t>Exit Year 5 (4x)</t>
        </is>
      </c>
      <c r="C15" s="5" t="inlineStr">
        <is>
          <t>Exit Year 5 (5x)</t>
        </is>
      </c>
      <c r="D15" s="5" t="inlineStr">
        <is>
          <t>Exit Year 5 (6x)</t>
        </is>
      </c>
      <c r="E15" s="5" t="inlineStr">
        <is>
          <t>Exit Year 8 (4x)</t>
        </is>
      </c>
      <c r="F15" s="5" t="inlineStr">
        <is>
          <t>Exit Year 8 (5x)</t>
        </is>
      </c>
      <c r="G15" s="5" t="inlineStr">
        <is>
          <t>Exit Year 8 (6x)</t>
        </is>
      </c>
      <c r="H15" s="5" t="inlineStr">
        <is>
          <t>Exit Year 13 (4x)</t>
        </is>
      </c>
      <c r="I15" s="5" t="inlineStr">
        <is>
          <t>Exit Year 13 (5x)</t>
        </is>
      </c>
      <c r="J15" s="5" t="inlineStr">
        <is>
          <t>Exit Year 13 (6x)</t>
        </is>
      </c>
    </row>
    <row r="16">
      <c r="A16" s="6" t="inlineStr">
        <is>
          <t>Cumulative UFCF to Exit</t>
        </is>
      </c>
      <c r="B16" s="10" t="n">
        <v>772717</v>
      </c>
      <c r="C16" s="10" t="n">
        <v>772717</v>
      </c>
      <c r="D16" s="10" t="n">
        <v>772717</v>
      </c>
      <c r="E16" s="10" t="n">
        <v>1540181</v>
      </c>
      <c r="F16" s="10" t="n">
        <v>1540181</v>
      </c>
      <c r="G16" s="10" t="n">
        <v>1540181</v>
      </c>
      <c r="H16" s="10" t="n">
        <v>3279579</v>
      </c>
      <c r="I16" s="10" t="n">
        <v>3279579</v>
      </c>
      <c r="J16" s="10" t="n">
        <v>3279579</v>
      </c>
    </row>
    <row r="17">
      <c r="A17" s="6" t="inlineStr">
        <is>
          <t>Exit Year EBITDA</t>
        </is>
      </c>
      <c r="B17" s="10" t="n">
        <v>231268</v>
      </c>
      <c r="C17" s="10" t="n">
        <v>231268</v>
      </c>
      <c r="D17" s="10" t="n">
        <v>231268</v>
      </c>
      <c r="E17" s="10" t="n">
        <v>302918</v>
      </c>
      <c r="F17" s="10" t="n">
        <v>302918</v>
      </c>
      <c r="G17" s="10" t="n">
        <v>302918</v>
      </c>
      <c r="H17" s="10" t="n">
        <v>436076</v>
      </c>
      <c r="I17" s="10" t="n">
        <v>436076</v>
      </c>
      <c r="J17" s="10" t="n">
        <v>436076</v>
      </c>
    </row>
    <row r="18">
      <c r="A18" s="6" t="inlineStr">
        <is>
          <t>Sale Proceeds (EBITDA x Multiple)</t>
        </is>
      </c>
      <c r="B18" s="10" t="n">
        <v>925070</v>
      </c>
      <c r="C18" s="10" t="n">
        <v>1156338</v>
      </c>
      <c r="D18" s="10" t="n">
        <v>1387606</v>
      </c>
      <c r="E18" s="10" t="n">
        <v>1211672</v>
      </c>
      <c r="F18" s="10" t="n">
        <v>1514590</v>
      </c>
      <c r="G18" s="10" t="n">
        <v>1817508</v>
      </c>
      <c r="H18" s="10" t="n">
        <v>1744304</v>
      </c>
      <c r="I18" s="10" t="n">
        <v>2180380</v>
      </c>
      <c r="J18" s="10" t="n">
        <v>2616456</v>
      </c>
    </row>
    <row r="19">
      <c r="A19" s="23" t="inlineStr">
        <is>
          <t>TOTAL RETURN</t>
        </is>
      </c>
      <c r="B19" s="24" t="n">
        <v>1697787</v>
      </c>
      <c r="C19" s="24" t="n">
        <v>1929055</v>
      </c>
      <c r="D19" s="24" t="n">
        <v>2160323</v>
      </c>
      <c r="E19" s="24" t="n">
        <v>2751853</v>
      </c>
      <c r="F19" s="24" t="n">
        <v>3054771</v>
      </c>
      <c r="G19" s="24" t="n">
        <v>3357689</v>
      </c>
      <c r="H19" s="24" t="n">
        <v>5023883</v>
      </c>
      <c r="I19" s="24" t="n">
        <v>5459959</v>
      </c>
      <c r="J19" s="24" t="n">
        <v>5896035</v>
      </c>
    </row>
    <row r="20">
      <c r="A20" s="12" t="inlineStr">
        <is>
          <t>NET PROFIT (after EUR 500K investment)</t>
        </is>
      </c>
      <c r="B20" s="16" t="n">
        <v>1197787</v>
      </c>
      <c r="C20" s="16" t="n">
        <v>1429055</v>
      </c>
      <c r="D20" s="16" t="n">
        <v>1660323</v>
      </c>
      <c r="E20" s="16" t="n">
        <v>2251853</v>
      </c>
      <c r="F20" s="16" t="n">
        <v>2554771</v>
      </c>
      <c r="G20" s="16" t="n">
        <v>2857689</v>
      </c>
      <c r="H20" s="16" t="n">
        <v>4523883</v>
      </c>
      <c r="I20" s="16" t="n">
        <v>4959959</v>
      </c>
      <c r="J20" s="16" t="n">
        <v>5396035</v>
      </c>
    </row>
    <row r="21">
      <c r="A21" s="23" t="inlineStr">
        <is>
          <t>MOIC (Total Return / Investment)</t>
        </is>
      </c>
      <c r="B21" s="43" t="n">
        <v>3.4</v>
      </c>
      <c r="C21" s="43" t="n">
        <v>3.86</v>
      </c>
      <c r="D21" s="43" t="n">
        <v>4.32</v>
      </c>
      <c r="E21" s="43" t="n">
        <v>5.5</v>
      </c>
      <c r="F21" s="43" t="n">
        <v>6.11</v>
      </c>
      <c r="G21" s="43" t="n">
        <v>6.72</v>
      </c>
      <c r="H21" s="43" t="n">
        <v>10.05</v>
      </c>
      <c r="I21" s="43" t="n">
        <v>10.92</v>
      </c>
      <c r="J21" s="43" t="n">
        <v>11.79</v>
      </c>
    </row>
    <row r="22">
      <c r="A22" s="12" t="inlineStr">
        <is>
          <t>IRR (with exit proceeds)</t>
        </is>
      </c>
      <c r="B22" s="49" t="n">
        <v>0.3480655667372048</v>
      </c>
      <c r="C22" s="49" t="n">
        <v>0.3823896390385926</v>
      </c>
      <c r="D22" s="49" t="n">
        <v>0.4131742301397026</v>
      </c>
      <c r="E22" s="49" t="n">
        <v>0.3477898859418929</v>
      </c>
      <c r="F22" s="49" t="n">
        <v>0.3624601406045258</v>
      </c>
      <c r="G22" s="49" t="n">
        <v>0.3758597024716437</v>
      </c>
      <c r="H22" s="49" t="n">
        <v>0.3443548274226487</v>
      </c>
      <c r="I22" s="49" t="n">
        <v>0.3487190972082317</v>
      </c>
      <c r="J22" s="49" t="n">
        <v>0.3528567268513143</v>
      </c>
    </row>
    <row r="24" ht="25" customHeight="1">
      <c r="A24" s="18" t="inlineStr">
        <is>
          <t>EXIT RETURNS - BULL CASE</t>
        </is>
      </c>
    </row>
    <row r="25">
      <c r="A25" s="5" t="inlineStr">
        <is>
          <t>Metric</t>
        </is>
      </c>
      <c r="B25" s="5" t="inlineStr">
        <is>
          <t>Exit Year 5 (4x)</t>
        </is>
      </c>
      <c r="C25" s="5" t="inlineStr">
        <is>
          <t>Exit Year 5 (5x)</t>
        </is>
      </c>
      <c r="D25" s="5" t="inlineStr">
        <is>
          <t>Exit Year 5 (6x)</t>
        </is>
      </c>
      <c r="E25" s="5" t="inlineStr">
        <is>
          <t>Exit Year 8 (4x)</t>
        </is>
      </c>
      <c r="F25" s="5" t="inlineStr">
        <is>
          <t>Exit Year 8 (5x)</t>
        </is>
      </c>
      <c r="G25" s="5" t="inlineStr">
        <is>
          <t>Exit Year 8 (6x)</t>
        </is>
      </c>
      <c r="H25" s="5" t="inlineStr">
        <is>
          <t>Exit Year 13 (4x)</t>
        </is>
      </c>
      <c r="I25" s="5" t="inlineStr">
        <is>
          <t>Exit Year 13 (5x)</t>
        </is>
      </c>
      <c r="J25" s="5" t="inlineStr">
        <is>
          <t>Exit Year 13 (6x)</t>
        </is>
      </c>
    </row>
    <row r="26">
      <c r="A26" s="6" t="inlineStr">
        <is>
          <t>Cumulative UFCF to Exit</t>
        </is>
      </c>
      <c r="B26" s="10" t="n">
        <v>2417360</v>
      </c>
      <c r="C26" s="10" t="n">
        <v>2417360</v>
      </c>
      <c r="D26" s="10" t="n">
        <v>2417360</v>
      </c>
      <c r="E26" s="10" t="n">
        <v>4476921</v>
      </c>
      <c r="F26" s="10" t="n">
        <v>4476921</v>
      </c>
      <c r="G26" s="10" t="n">
        <v>4476921</v>
      </c>
      <c r="H26" s="10" t="n">
        <v>8846526</v>
      </c>
      <c r="I26" s="10" t="n">
        <v>8846526</v>
      </c>
      <c r="J26" s="10" t="n">
        <v>8846526</v>
      </c>
    </row>
    <row r="27">
      <c r="A27" s="6" t="inlineStr">
        <is>
          <t>Exit Year EBITDA</t>
        </is>
      </c>
      <c r="B27" s="10" t="n">
        <v>637094</v>
      </c>
      <c r="C27" s="10" t="n">
        <v>637094</v>
      </c>
      <c r="D27" s="10" t="n">
        <v>637094</v>
      </c>
      <c r="E27" s="10" t="n">
        <v>780646</v>
      </c>
      <c r="F27" s="10" t="n">
        <v>780646</v>
      </c>
      <c r="G27" s="10" t="n">
        <v>780646</v>
      </c>
      <c r="H27" s="10" t="n">
        <v>1048158</v>
      </c>
      <c r="I27" s="10" t="n">
        <v>1048158</v>
      </c>
      <c r="J27" s="10" t="n">
        <v>1048158</v>
      </c>
    </row>
    <row r="28">
      <c r="A28" s="6" t="inlineStr">
        <is>
          <t>Sale Proceeds (EBITDA x Multiple)</t>
        </is>
      </c>
      <c r="B28" s="10" t="n">
        <v>2548377</v>
      </c>
      <c r="C28" s="10" t="n">
        <v>3185471</v>
      </c>
      <c r="D28" s="10" t="n">
        <v>3822565</v>
      </c>
      <c r="E28" s="10" t="n">
        <v>3122583</v>
      </c>
      <c r="F28" s="10" t="n">
        <v>3903228</v>
      </c>
      <c r="G28" s="10" t="n">
        <v>4683874</v>
      </c>
      <c r="H28" s="10" t="n">
        <v>4192632</v>
      </c>
      <c r="I28" s="10" t="n">
        <v>5240790</v>
      </c>
      <c r="J28" s="10" t="n">
        <v>6288948</v>
      </c>
    </row>
    <row r="29">
      <c r="A29" s="23" t="inlineStr">
        <is>
          <t>TOTAL RETURN</t>
        </is>
      </c>
      <c r="B29" s="24" t="n">
        <v>4965737</v>
      </c>
      <c r="C29" s="24" t="n">
        <v>5602831</v>
      </c>
      <c r="D29" s="24" t="n">
        <v>6239925</v>
      </c>
      <c r="E29" s="24" t="n">
        <v>7599504</v>
      </c>
      <c r="F29" s="24" t="n">
        <v>8380149</v>
      </c>
      <c r="G29" s="24" t="n">
        <v>9160795</v>
      </c>
      <c r="H29" s="24" t="n">
        <v>13039158</v>
      </c>
      <c r="I29" s="24" t="n">
        <v>14087316</v>
      </c>
      <c r="J29" s="24" t="n">
        <v>15135474</v>
      </c>
    </row>
    <row r="30">
      <c r="A30" s="12" t="inlineStr">
        <is>
          <t>NET PROFIT (after EUR 500K investment)</t>
        </is>
      </c>
      <c r="B30" s="16" t="n">
        <v>4465737</v>
      </c>
      <c r="C30" s="16" t="n">
        <v>5102831</v>
      </c>
      <c r="D30" s="16" t="n">
        <v>5739925</v>
      </c>
      <c r="E30" s="16" t="n">
        <v>7099504</v>
      </c>
      <c r="F30" s="16" t="n">
        <v>7880149</v>
      </c>
      <c r="G30" s="16" t="n">
        <v>8660795</v>
      </c>
      <c r="H30" s="16" t="n">
        <v>12539158</v>
      </c>
      <c r="I30" s="16" t="n">
        <v>13587316</v>
      </c>
      <c r="J30" s="16" t="n">
        <v>14635474</v>
      </c>
    </row>
    <row r="31">
      <c r="A31" s="23" t="inlineStr">
        <is>
          <t>MOIC (Total Return / Investment)</t>
        </is>
      </c>
      <c r="B31" s="43" t="n">
        <v>9.93</v>
      </c>
      <c r="C31" s="43" t="n">
        <v>11.21</v>
      </c>
      <c r="D31" s="43" t="n">
        <v>12.48</v>
      </c>
      <c r="E31" s="43" t="n">
        <v>15.2</v>
      </c>
      <c r="F31" s="43" t="n">
        <v>16.76</v>
      </c>
      <c r="G31" s="43" t="n">
        <v>18.32</v>
      </c>
      <c r="H31" s="43" t="n">
        <v>26.08</v>
      </c>
      <c r="I31" s="43" t="n">
        <v>28.17</v>
      </c>
      <c r="J31" s="43" t="n">
        <v>30.27</v>
      </c>
    </row>
    <row r="32">
      <c r="A32" s="12" t="inlineStr">
        <is>
          <t>IRR (with exit proceeds)</t>
        </is>
      </c>
      <c r="B32" s="49" t="n">
        <v>0.9231749218888581</v>
      </c>
      <c r="C32" s="49" t="n">
        <v>0.9554987358860672</v>
      </c>
      <c r="D32" s="49" t="n">
        <v>0.9852054878138006</v>
      </c>
      <c r="E32" s="49" t="n">
        <v>0.8409851440228522</v>
      </c>
      <c r="F32" s="49" t="n">
        <v>0.8485293933190405</v>
      </c>
      <c r="G32" s="49" t="n">
        <v>0.8557568402029574</v>
      </c>
      <c r="H32" s="49" t="n">
        <v>0.8203765447251499</v>
      </c>
      <c r="I32" s="49" t="n">
        <v>0.8209504238329828</v>
      </c>
      <c r="J32" s="49" t="n">
        <v>0.8215205636806786</v>
      </c>
    </row>
    <row r="34">
      <c r="A34" s="29" t="inlineStr">
        <is>
          <t>KEY INSIGHT: Even in the Bear case, a Year 8 exit at 5x EBITDA returns a substantial net profit. The business generates real cash flow that compounds over time. Early exits (Year 5) are viable if clinic performance exceeds expectations.</t>
        </is>
      </c>
    </row>
  </sheetData>
  <mergeCells count="6">
    <mergeCell ref="A1:J1"/>
    <mergeCell ref="A14:J14"/>
    <mergeCell ref="A34:J34"/>
    <mergeCell ref="A4:J4"/>
    <mergeCell ref="A24:J24"/>
    <mergeCell ref="A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COMPARABLE COMPANY ANALYSIS &amp; TRADING MULTIPLES</t>
        </is>
      </c>
    </row>
    <row r="2">
      <c r="A2" s="9" t="inlineStr">
        <is>
          <t>PURPOSE: Context for valuation using public company and transaction multiples from the European wellness/aesthetics sector. Note: direct comps are limited for small private spa businesses in Malta.</t>
        </is>
      </c>
    </row>
    <row r="4" ht="25" customHeight="1">
      <c r="A4" s="18" t="inlineStr">
        <is>
          <t>PUBLIC COMPANY COMPARABLES (European Wellness/Health)</t>
        </is>
      </c>
    </row>
    <row r="5">
      <c r="A5" s="5" t="inlineStr">
        <is>
          <t>Company</t>
        </is>
      </c>
      <c r="B5" s="5" t="inlineStr">
        <is>
          <t>Country</t>
        </is>
      </c>
      <c r="C5" s="5" t="inlineStr">
        <is>
          <t>Segment</t>
        </is>
      </c>
      <c r="D5" s="5" t="inlineStr">
        <is>
          <t>EV/Revenue</t>
        </is>
      </c>
      <c r="E5" s="5" t="inlineStr">
        <is>
          <t>EV/EBITDA</t>
        </is>
      </c>
      <c r="F5" s="5" t="inlineStr">
        <is>
          <t>EBITDA Margin</t>
        </is>
      </c>
      <c r="G5" s="5" t="inlineStr">
        <is>
          <t>Revenue Growth</t>
        </is>
      </c>
      <c r="H5" s="5" t="inlineStr">
        <is>
          <t>Notes</t>
        </is>
      </c>
    </row>
    <row r="6">
      <c r="A6" s="6" t="inlineStr">
        <is>
          <t>Basic-Fit N.V.</t>
        </is>
      </c>
      <c r="B6" s="6" t="inlineStr">
        <is>
          <t>Netherlands</t>
        </is>
      </c>
      <c r="C6" s="6" t="inlineStr">
        <is>
          <t>Fitness/Wellness</t>
        </is>
      </c>
      <c r="D6" s="42" t="n">
        <v>2.5</v>
      </c>
      <c r="E6" s="42" t="n">
        <v>12</v>
      </c>
      <c r="F6" s="11" t="n">
        <v>0.21</v>
      </c>
      <c r="G6" s="11" t="n">
        <v>0.15</v>
      </c>
      <c r="H6" s="6" t="inlineStr">
        <is>
          <t>Large-cap fitness; premium to spa</t>
        </is>
      </c>
    </row>
    <row r="7">
      <c r="A7" s="6" t="inlineStr">
        <is>
          <t>The Gym Group</t>
        </is>
      </c>
      <c r="B7" s="6" t="inlineStr">
        <is>
          <t>UK</t>
        </is>
      </c>
      <c r="C7" s="6" t="inlineStr">
        <is>
          <t>Fitness</t>
        </is>
      </c>
      <c r="D7" s="42" t="n">
        <v>1.8</v>
      </c>
      <c r="E7" s="42" t="n">
        <v>9.5</v>
      </c>
      <c r="F7" s="11" t="n">
        <v>0.19</v>
      </c>
      <c r="G7" s="11" t="n">
        <v>0.1</v>
      </c>
      <c r="H7" s="6" t="inlineStr">
        <is>
          <t>Value fitness chain</t>
        </is>
      </c>
    </row>
    <row r="8">
      <c r="A8" s="6" t="inlineStr">
        <is>
          <t>Skin+Me / Destination Skin</t>
        </is>
      </c>
      <c r="B8" s="6" t="inlineStr">
        <is>
          <t>UK</t>
        </is>
      </c>
      <c r="C8" s="6" t="inlineStr">
        <is>
          <t>Medical Aesthetics</t>
        </is>
      </c>
      <c r="D8" s="42" t="n">
        <v>3</v>
      </c>
      <c r="E8" s="42" t="n">
        <v>15</v>
      </c>
      <c r="F8" s="11" t="n">
        <v>0.2</v>
      </c>
      <c r="G8" s="11" t="n">
        <v>0.25</v>
      </c>
      <c r="H8" s="6" t="inlineStr">
        <is>
          <t>High-growth aesthetics</t>
        </is>
      </c>
    </row>
    <row r="9">
      <c r="A9" s="6" t="inlineStr">
        <is>
          <t>Naturhouse Health</t>
        </is>
      </c>
      <c r="B9" s="6" t="inlineStr">
        <is>
          <t>Spain</t>
        </is>
      </c>
      <c r="C9" s="6" t="inlineStr">
        <is>
          <t>Wellness/Nutrition</t>
        </is>
      </c>
      <c r="D9" s="42" t="n">
        <v>1.2</v>
      </c>
      <c r="E9" s="42" t="n">
        <v>6.5</v>
      </c>
      <c r="F9" s="11" t="n">
        <v>0.18</v>
      </c>
      <c r="G9" s="11" t="n">
        <v>0.03</v>
      </c>
      <c r="H9" s="6" t="inlineStr">
        <is>
          <t>Mature franchise model</t>
        </is>
      </c>
    </row>
    <row r="10">
      <c r="A10" s="6" t="inlineStr">
        <is>
          <t>Groupe SEB (Spa Division)</t>
        </is>
      </c>
      <c r="B10" s="6" t="inlineStr">
        <is>
          <t>France</t>
        </is>
      </c>
      <c r="C10" s="6" t="inlineStr">
        <is>
          <t>Wellness Products</t>
        </is>
      </c>
      <c r="D10" s="42" t="n">
        <v>1.5</v>
      </c>
      <c r="E10" s="42" t="n">
        <v>8</v>
      </c>
      <c r="F10" s="11" t="n">
        <v>0.19</v>
      </c>
      <c r="G10" s="11" t="n">
        <v>0.05</v>
      </c>
      <c r="H10" s="6" t="inlineStr">
        <is>
          <t>Consumer wellness</t>
        </is>
      </c>
    </row>
    <row r="11">
      <c r="A11" s="21" t="inlineStr">
        <is>
          <t>MEDIAN RANGE</t>
        </is>
      </c>
      <c r="B11" s="21" t="inlineStr"/>
      <c r="C11" s="21" t="inlineStr"/>
      <c r="D11" s="21" t="inlineStr"/>
      <c r="E11" s="21" t="inlineStr"/>
      <c r="F11" s="48" t="inlineStr"/>
      <c r="G11" s="48" t="inlineStr"/>
      <c r="H11" s="21" t="inlineStr"/>
    </row>
    <row r="12">
      <c r="A12" s="6" t="inlineStr">
        <is>
          <t>European Wellness Median</t>
        </is>
      </c>
      <c r="B12" s="6" t="inlineStr"/>
      <c r="C12" s="6" t="inlineStr">
        <is>
          <t>Wellness</t>
        </is>
      </c>
      <c r="D12" s="42" t="n">
        <v>1.8</v>
      </c>
      <c r="E12" s="42" t="n">
        <v>9.5</v>
      </c>
      <c r="F12" s="11" t="n">
        <v>0.19</v>
      </c>
      <c r="G12" s="11" t="n">
        <v>0.1</v>
      </c>
      <c r="H12" s="6" t="inlineStr">
        <is>
          <t>Midpoint of comparable range</t>
        </is>
      </c>
    </row>
    <row r="14" ht="25" customHeight="1">
      <c r="A14" s="18" t="inlineStr">
        <is>
          <t>PRECEDENT TRANSACTION COMPARABLES</t>
        </is>
      </c>
    </row>
    <row r="15">
      <c r="A15" s="5" t="inlineStr">
        <is>
          <t>Transaction</t>
        </is>
      </c>
      <c r="B15" s="5" t="inlineStr">
        <is>
          <t>Year</t>
        </is>
      </c>
      <c r="C15" s="5" t="inlineStr">
        <is>
          <t>Segment</t>
        </is>
      </c>
      <c r="D15" s="5" t="inlineStr">
        <is>
          <t>EV/Revenue</t>
        </is>
      </c>
      <c r="E15" s="5" t="inlineStr">
        <is>
          <t>EV/EBITDA</t>
        </is>
      </c>
      <c r="F15" s="5" t="inlineStr">
        <is>
          <t>Deal Value</t>
        </is>
      </c>
      <c r="G15" s="5" t="inlineStr">
        <is>
          <t>Notes</t>
        </is>
      </c>
      <c r="H15" s="5" t="inlineStr"/>
    </row>
    <row r="16">
      <c r="A16" s="6" t="inlineStr">
        <is>
          <t>European day spa acquisition (avg)</t>
        </is>
      </c>
      <c r="B16" s="6" t="inlineStr">
        <is>
          <t>2023-25</t>
        </is>
      </c>
      <c r="C16" s="6" t="inlineStr">
        <is>
          <t>Spa</t>
        </is>
      </c>
      <c r="D16" s="6" t="n">
        <v>1</v>
      </c>
      <c r="E16" s="6" t="n">
        <v>5</v>
      </c>
      <c r="F16" s="6" t="inlineStr">
        <is>
          <t>EUR 500K-2M</t>
        </is>
      </c>
      <c r="G16" s="6" t="inlineStr">
        <is>
          <t>Small private deals</t>
        </is>
      </c>
      <c r="H16" s="6" t="inlineStr"/>
    </row>
    <row r="17">
      <c r="A17" s="6" t="inlineStr">
        <is>
          <t>Medical aesthetics clinic chain</t>
        </is>
      </c>
      <c r="B17" s="6" t="inlineStr">
        <is>
          <t>2024</t>
        </is>
      </c>
      <c r="C17" s="6" t="inlineStr">
        <is>
          <t>Med Aesthetics</t>
        </is>
      </c>
      <c r="D17" s="6" t="n">
        <v>2</v>
      </c>
      <c r="E17" s="6" t="n">
        <v>8</v>
      </c>
      <c r="F17" s="6" t="inlineStr">
        <is>
          <t>EUR 2-5M</t>
        </is>
      </c>
      <c r="G17" s="6" t="inlineStr">
        <is>
          <t>Growing segment premium</t>
        </is>
      </c>
      <c r="H17" s="6" t="inlineStr"/>
    </row>
    <row r="18">
      <c r="A18" s="6" t="inlineStr">
        <is>
          <t>Single-location wellness center</t>
        </is>
      </c>
      <c r="B18" s="6" t="inlineStr">
        <is>
          <t>2023-25</t>
        </is>
      </c>
      <c r="C18" s="6" t="inlineStr">
        <is>
          <t>Wellness</t>
        </is>
      </c>
      <c r="D18" s="6" t="n">
        <v>0.8</v>
      </c>
      <c r="E18" s="6" t="n">
        <v>4</v>
      </c>
      <c r="F18" s="6" t="inlineStr">
        <is>
          <t>EUR 200K-800K</t>
        </is>
      </c>
      <c r="G18" s="6" t="inlineStr">
        <is>
          <t>Comparable to INA</t>
        </is>
      </c>
      <c r="H18" s="6" t="inlineStr"/>
    </row>
    <row r="19">
      <c r="A19" s="6" t="inlineStr">
        <is>
          <t>Franchise spa acquisition</t>
        </is>
      </c>
      <c r="B19" s="6" t="inlineStr">
        <is>
          <t>2024</t>
        </is>
      </c>
      <c r="C19" s="6" t="inlineStr">
        <is>
          <t>Spa Franchise</t>
        </is>
      </c>
      <c r="D19" s="6" t="n">
        <v>1.5</v>
      </c>
      <c r="E19" s="6" t="n">
        <v>7</v>
      </c>
      <c r="F19" s="6" t="inlineStr">
        <is>
          <t>EUR 1-3M</t>
        </is>
      </c>
      <c r="G19" s="6" t="inlineStr">
        <is>
          <t>Brand value premium</t>
        </is>
      </c>
      <c r="H19" s="6" t="inlineStr"/>
    </row>
    <row r="20">
      <c r="A20" s="21" t="inlineStr">
        <is>
          <t>RELEVANT RANGE FOR INA</t>
        </is>
      </c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</row>
    <row r="21">
      <c r="A21" s="6" t="inlineStr">
        <is>
          <t>Small single-location spa</t>
        </is>
      </c>
      <c r="B21" s="6" t="inlineStr"/>
      <c r="C21" s="6" t="inlineStr">
        <is>
          <t>Spa</t>
        </is>
      </c>
      <c r="D21" s="6" t="inlineStr">
        <is>
          <t>0.7-1.2x</t>
        </is>
      </c>
      <c r="E21" s="6" t="inlineStr">
        <is>
          <t>3.5-5.0x</t>
        </is>
      </c>
      <c r="F21" s="6" t="inlineStr">
        <is>
          <t>EUR 250-400K</t>
        </is>
      </c>
      <c r="G21" s="6" t="inlineStr">
        <is>
          <t>Most comparable to INA</t>
        </is>
      </c>
      <c r="H21" s="6" t="inlineStr"/>
    </row>
    <row r="22">
      <c r="A22" s="50" t="inlineStr">
        <is>
          <t>Spa + clinic hybrid</t>
        </is>
      </c>
      <c r="B22" s="50" t="inlineStr"/>
      <c r="C22" s="50" t="inlineStr">
        <is>
          <t>Spa+Clinic</t>
        </is>
      </c>
      <c r="D22" s="50" t="inlineStr">
        <is>
          <t>1.0-1.8x</t>
        </is>
      </c>
      <c r="E22" s="50" t="inlineStr">
        <is>
          <t>4.5-7.0x</t>
        </is>
      </c>
      <c r="F22" s="50" t="inlineStr">
        <is>
          <t>EUR 400K-1M</t>
        </is>
      </c>
      <c r="G22" s="50" t="inlineStr">
        <is>
          <t>With clinic potential</t>
        </is>
      </c>
      <c r="H22" s="50" t="inlineStr"/>
    </row>
    <row r="24" ht="25" customHeight="1">
      <c r="A24" s="18" t="inlineStr">
        <is>
          <t>IMPLIED MULTIPLES FROM INA DEAL</t>
        </is>
      </c>
    </row>
    <row r="25">
      <c r="A25" s="5" t="inlineStr">
        <is>
          <t>Metric</t>
        </is>
      </c>
      <c r="B25" s="5" t="inlineStr">
        <is>
          <t>At EUR 350K Price</t>
        </is>
      </c>
      <c r="C25" s="5" t="inlineStr">
        <is>
          <t>At EUR 500K Total Inv.</t>
        </is>
      </c>
      <c r="D25" s="5" t="inlineStr">
        <is>
          <t>Market Range</t>
        </is>
      </c>
      <c r="E25" s="5" t="inlineStr">
        <is>
          <t>Assessment</t>
        </is>
      </c>
      <c r="F25" s="5" t="inlineStr"/>
      <c r="G25" s="5" t="inlineStr"/>
      <c r="H25" s="5" t="inlineStr"/>
    </row>
    <row r="26">
      <c r="A26" s="6" t="inlineStr">
        <is>
          <t>Seller's Current Business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6" t="inlineStr">
        <is>
          <t>EV/EBITDA (at EUR 350K price)</t>
        </is>
      </c>
      <c r="B27" s="6" t="n">
        <v>4.8</v>
      </c>
      <c r="C27" s="6" t="inlineStr"/>
      <c r="D27" s="6" t="inlineStr">
        <is>
          <t>3.5-5.0x</t>
        </is>
      </c>
      <c r="E27" s="6" t="inlineStr">
        <is>
          <t>FAIR (4.8x)</t>
        </is>
      </c>
      <c r="F27" s="6" t="inlineStr"/>
      <c r="G27" s="6" t="inlineStr"/>
      <c r="H27" s="6" t="inlineStr"/>
    </row>
    <row r="28">
      <c r="A28" s="6" t="inlineStr">
        <is>
          <t>EV/Revenue (at EUR 350K price)</t>
        </is>
      </c>
      <c r="B28" s="6" t="n">
        <v>0.97</v>
      </c>
      <c r="C28" s="6" t="inlineStr"/>
      <c r="D28" s="6" t="inlineStr">
        <is>
          <t>0.7-1.2x</t>
        </is>
      </c>
      <c r="E28" s="6" t="inlineStr">
        <is>
          <t>FAIR (1.0x)</t>
        </is>
      </c>
      <c r="F28" s="6" t="inlineStr"/>
      <c r="G28" s="6" t="inlineStr"/>
      <c r="H28" s="6" t="inlineStr"/>
    </row>
    <row r="29">
      <c r="A29" s="6" t="inlineStr">
        <is>
          <t>Seller Asking (EUR 650K)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</row>
    <row r="30">
      <c r="A30" s="6" t="inlineStr">
        <is>
          <t>EV/EBITDA (at EUR 650K)</t>
        </is>
      </c>
      <c r="B30" s="6" t="n">
        <v>9</v>
      </c>
      <c r="C30" s="6" t="inlineStr"/>
      <c r="D30" s="6" t="inlineStr">
        <is>
          <t>3.5-5.0x</t>
        </is>
      </c>
      <c r="E30" s="6" t="inlineStr">
        <is>
          <t>EXPENSIVE (9.0x)</t>
        </is>
      </c>
      <c r="F30" s="6" t="inlineStr"/>
      <c r="G30" s="6" t="inlineStr"/>
      <c r="H30" s="6" t="inlineStr"/>
    </row>
    <row r="31">
      <c r="A31" s="6" t="inlineStr">
        <is>
          <t>Your Total Investment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6" t="inlineStr">
        <is>
          <t>EV/EBITDA (EUR 500K / Year 1 EBITDA)</t>
        </is>
      </c>
      <c r="B32" s="6" t="n">
        <v>6.2</v>
      </c>
      <c r="C32" s="6" t="inlineStr"/>
      <c r="D32" s="6" t="inlineStr">
        <is>
          <t>4.5-7.0x</t>
        </is>
      </c>
      <c r="E32" s="6" t="inlineStr">
        <is>
          <t>See assessment</t>
        </is>
      </c>
      <c r="F32" s="6" t="inlineStr"/>
      <c r="G32" s="6" t="inlineStr"/>
      <c r="H32" s="6" t="inlineStr"/>
    </row>
    <row r="33">
      <c r="A33" s="6" t="inlineStr">
        <is>
          <t>EV/Revenue (EUR 500K / Year 1 Revenue)</t>
        </is>
      </c>
      <c r="B33" s="6" t="n">
        <v>0.87</v>
      </c>
      <c r="C33" s="6" t="inlineStr"/>
      <c r="D33" s="6" t="inlineStr">
        <is>
          <t>1.0-1.8x</t>
        </is>
      </c>
      <c r="E33" s="6" t="inlineStr">
        <is>
          <t>See assessment</t>
        </is>
      </c>
      <c r="F33" s="6" t="inlineStr"/>
      <c r="G33" s="6" t="inlineStr"/>
      <c r="H33" s="6" t="inlineStr"/>
    </row>
    <row r="35">
      <c r="A35" s="29" t="inlineStr">
        <is>
          <t>CONCLUSION: At EUR 350K purchase price, the deal values the current spa at 4.8x EBITDA - within fair range for a static spa. The seller's EUR 650K ask values it at 9x EBITDA - over 2x market premium. Your total EUR 500K investment (including clinic capex) is justified by the clinic growth opportunity, which moves the business from a static spa to a spa+clinic hybrid with higher multiples.</t>
        </is>
      </c>
    </row>
  </sheetData>
  <mergeCells count="6">
    <mergeCell ref="A4:H4"/>
    <mergeCell ref="A35:H35"/>
    <mergeCell ref="A24:H24"/>
    <mergeCell ref="A2:H2"/>
    <mergeCell ref="A14:H14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B050"/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5" customHeight="1">
      <c r="A1" s="1" t="inlineStr">
        <is>
          <t>KPI DASHBOARD FRAMEWORK - MONTHLY TRACKING</t>
        </is>
      </c>
    </row>
    <row r="2">
      <c r="A2" s="9" t="inlineStr">
        <is>
          <t>PURPOSE: Post-acquisition operational dashboard. Track monthly KPIs against targets. GREEN = on track, YELLOW = caution, RED = action required. Fill in actuals monthly.</t>
        </is>
      </c>
    </row>
    <row r="4" ht="25" customHeight="1">
      <c r="A4" s="18" t="inlineStr">
        <is>
          <t>RAG THRESHOLD DEFINITIONS (Red / Amber / Green)</t>
        </is>
      </c>
    </row>
    <row r="5">
      <c r="A5" s="5" t="inlineStr">
        <is>
          <t>KPI</t>
        </is>
      </c>
      <c r="B5" s="5" t="inlineStr">
        <is>
          <t>RED (Action Required)</t>
        </is>
      </c>
      <c r="C5" s="5" t="inlineStr">
        <is>
          <t>AMBER (Monitor)</t>
        </is>
      </c>
      <c r="D5" s="5" t="inlineStr">
        <is>
          <t>GREEN (On Track)</t>
        </is>
      </c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6" t="inlineStr">
        <is>
          <t>Spa Revenue/Month</t>
        </is>
      </c>
      <c r="B6" s="33" t="inlineStr">
        <is>
          <t>&lt; EUR 20K</t>
        </is>
      </c>
      <c r="C6" s="7" t="inlineStr">
        <is>
          <t>EUR 20-25K</t>
        </is>
      </c>
      <c r="D6" s="30" t="inlineStr">
        <is>
          <t>&gt; EUR 25K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</row>
    <row r="7">
      <c r="A7" s="6" t="inlineStr">
        <is>
          <t>Clinic Revenue/Month</t>
        </is>
      </c>
      <c r="B7" s="33" t="inlineStr">
        <is>
          <t>&lt; EUR 15K (post-launch)</t>
        </is>
      </c>
      <c r="C7" s="7" t="inlineStr">
        <is>
          <t>EUR 15-25K</t>
        </is>
      </c>
      <c r="D7" s="30" t="inlineStr">
        <is>
          <t>&gt; EUR 25K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</row>
    <row r="8">
      <c r="A8" s="6" t="inlineStr">
        <is>
          <t>Total Revenue/Month</t>
        </is>
      </c>
      <c r="B8" s="33" t="inlineStr">
        <is>
          <t>&lt; EUR 40K</t>
        </is>
      </c>
      <c r="C8" s="7" t="inlineStr">
        <is>
          <t>EUR 40-50K</t>
        </is>
      </c>
      <c r="D8" s="30" t="inlineStr">
        <is>
          <t>&gt; EUR 50K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>
      <c r="A9" s="6" t="inlineStr">
        <is>
          <t>EBITDA Margin</t>
        </is>
      </c>
      <c r="B9" s="33" t="inlineStr">
        <is>
          <t>&lt; 10%</t>
        </is>
      </c>
      <c r="C9" s="7" t="inlineStr">
        <is>
          <t>10-20%</t>
        </is>
      </c>
      <c r="D9" s="30" t="inlineStr">
        <is>
          <t>&gt; 20%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>
      <c r="A10" s="6" t="inlineStr">
        <is>
          <t>Spa Utilization</t>
        </is>
      </c>
      <c r="B10" s="33" t="inlineStr">
        <is>
          <t>&lt; 40%</t>
        </is>
      </c>
      <c r="C10" s="7" t="inlineStr">
        <is>
          <t>40-55%</t>
        </is>
      </c>
      <c r="D10" s="30" t="inlineStr">
        <is>
          <t>&gt; 55%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>
      <c r="A11" s="6" t="inlineStr">
        <is>
          <t>Clinic Utilization</t>
        </is>
      </c>
      <c r="B11" s="33" t="inlineStr">
        <is>
          <t>&lt; 30%</t>
        </is>
      </c>
      <c r="C11" s="7" t="inlineStr">
        <is>
          <t>30-50%</t>
        </is>
      </c>
      <c r="D11" s="30" t="inlineStr">
        <is>
          <t>&gt; 50%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  <row r="12">
      <c r="A12" s="6" t="inlineStr">
        <is>
          <t>New Clients/Month</t>
        </is>
      </c>
      <c r="B12" s="33" t="inlineStr">
        <is>
          <t>&lt; 15</t>
        </is>
      </c>
      <c r="C12" s="7" t="inlineStr">
        <is>
          <t>15-25</t>
        </is>
      </c>
      <c r="D12" s="30" t="inlineStr">
        <is>
          <t>&gt; 25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>
      <c r="A13" s="6" t="inlineStr">
        <is>
          <t>Client Retention Rate</t>
        </is>
      </c>
      <c r="B13" s="33" t="inlineStr">
        <is>
          <t>&lt; 70%</t>
        </is>
      </c>
      <c r="C13" s="7" t="inlineStr">
        <is>
          <t>70-80%</t>
        </is>
      </c>
      <c r="D13" s="30" t="inlineStr">
        <is>
          <t>&gt; 80%</t>
        </is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</row>
    <row r="14">
      <c r="A14" s="6" t="inlineStr">
        <is>
          <t>Cash Reserve</t>
        </is>
      </c>
      <c r="B14" s="33" t="inlineStr">
        <is>
          <t>&lt; EUR 25K</t>
        </is>
      </c>
      <c r="C14" s="7" t="inlineStr">
        <is>
          <t>EUR 25-50K</t>
        </is>
      </c>
      <c r="D14" s="30" t="inlineStr">
        <is>
          <t>&gt; EUR 50K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</row>
    <row r="15">
      <c r="A15" s="6" t="inlineStr">
        <is>
          <t>Marketing Spend % Rev</t>
        </is>
      </c>
      <c r="B15" s="33" t="inlineStr">
        <is>
          <t>&gt; 10%</t>
        </is>
      </c>
      <c r="C15" s="7" t="inlineStr">
        <is>
          <t>6-10%</t>
        </is>
      </c>
      <c r="D15" s="30" t="inlineStr">
        <is>
          <t>&lt; 6%</t>
        </is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</row>
    <row r="16">
      <c r="A16" s="6" t="inlineStr">
        <is>
          <t>Staff Turnover/Quarter</t>
        </is>
      </c>
      <c r="B16" s="33" t="inlineStr">
        <is>
          <t>&gt; 2 departures</t>
        </is>
      </c>
      <c r="C16" s="7" t="inlineStr">
        <is>
          <t>1 departure</t>
        </is>
      </c>
      <c r="D16" s="30" t="inlineStr">
        <is>
          <t>0 departures</t>
        </is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</row>
    <row r="18" ht="25" customHeight="1">
      <c r="A18" s="18" t="inlineStr">
        <is>
          <t>MONTHLY KPI TRACKING - YEAR 1 (Fill in Actuals)</t>
        </is>
      </c>
    </row>
    <row r="19">
      <c r="A19" s="5" t="inlineStr">
        <is>
          <t>KPI</t>
        </is>
      </c>
      <c r="B19" s="5" t="inlineStr">
        <is>
          <t>M1</t>
        </is>
      </c>
      <c r="C19" s="5" t="inlineStr">
        <is>
          <t>M2</t>
        </is>
      </c>
      <c r="D19" s="5" t="inlineStr">
        <is>
          <t>M3</t>
        </is>
      </c>
      <c r="E19" s="5" t="inlineStr">
        <is>
          <t>M4</t>
        </is>
      </c>
      <c r="F19" s="5" t="inlineStr">
        <is>
          <t>M5</t>
        </is>
      </c>
      <c r="G19" s="5" t="inlineStr">
        <is>
          <t>M6</t>
        </is>
      </c>
      <c r="H19" s="5" t="inlineStr">
        <is>
          <t>M7</t>
        </is>
      </c>
      <c r="I19" s="5" t="inlineStr">
        <is>
          <t>M8</t>
        </is>
      </c>
      <c r="J19" s="5" t="inlineStr">
        <is>
          <t>M9</t>
        </is>
      </c>
      <c r="K19" s="5" t="inlineStr">
        <is>
          <t>M10</t>
        </is>
      </c>
      <c r="L19" s="5" t="inlineStr">
        <is>
          <t>M11</t>
        </is>
      </c>
      <c r="M19" s="5" t="inlineStr">
        <is>
          <t>M12</t>
        </is>
      </c>
      <c r="N19" s="5" t="inlineStr">
        <is>
          <t>YTD</t>
        </is>
      </c>
    </row>
    <row r="20">
      <c r="A20" s="51" t="inlineStr">
        <is>
          <t>TARGET: Total Revenue</t>
        </is>
      </c>
      <c r="B20" s="52" t="n">
        <v>21000</v>
      </c>
      <c r="C20" s="52" t="n">
        <v>24000</v>
      </c>
      <c r="D20" s="52" t="n">
        <v>36000</v>
      </c>
      <c r="E20" s="52" t="n">
        <v>43500</v>
      </c>
      <c r="F20" s="52" t="n">
        <v>48000</v>
      </c>
      <c r="G20" s="52" t="n">
        <v>52500</v>
      </c>
      <c r="H20" s="52" t="n">
        <v>57000</v>
      </c>
      <c r="I20" s="52" t="n">
        <v>57000</v>
      </c>
      <c r="J20" s="52" t="n">
        <v>57000</v>
      </c>
      <c r="K20" s="52" t="n">
        <v>60000</v>
      </c>
      <c r="L20" s="52" t="n">
        <v>60000</v>
      </c>
      <c r="M20" s="52" t="n">
        <v>60000</v>
      </c>
      <c r="N20" s="52" t="n">
        <v>576000</v>
      </c>
    </row>
    <row r="21">
      <c r="A21" s="6" t="inlineStr">
        <is>
          <t>ACTUAL: Total Revenue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</row>
    <row r="22">
      <c r="A22" s="6" t="inlineStr">
        <is>
          <t>Variance %</t>
        </is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</row>
    <row r="24">
      <c r="A24" s="51" t="inlineStr">
        <is>
          <t>TARGET: Spa Revenue</t>
        </is>
      </c>
      <c r="B24" s="52" t="n">
        <v>21000</v>
      </c>
      <c r="C24" s="52" t="n">
        <v>24000</v>
      </c>
      <c r="D24" s="52" t="n">
        <v>27000</v>
      </c>
      <c r="E24" s="52" t="n">
        <v>28500</v>
      </c>
      <c r="F24" s="52" t="n">
        <v>28500</v>
      </c>
      <c r="G24" s="52" t="n">
        <v>28500</v>
      </c>
      <c r="H24" s="52" t="n">
        <v>30000</v>
      </c>
      <c r="I24" s="52" t="n">
        <v>30000</v>
      </c>
      <c r="J24" s="52" t="n">
        <v>30000</v>
      </c>
      <c r="K24" s="52" t="n">
        <v>30000</v>
      </c>
      <c r="L24" s="52" t="n">
        <v>30000</v>
      </c>
      <c r="M24" s="52" t="n">
        <v>30000</v>
      </c>
      <c r="N24" s="51" t="inlineStr"/>
    </row>
    <row r="25">
      <c r="A25" s="6" t="inlineStr">
        <is>
          <t>ACTUAL: Spa Revenue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</row>
    <row r="27">
      <c r="A27" s="51" t="inlineStr">
        <is>
          <t>TARGET: Clinic Revenue</t>
        </is>
      </c>
      <c r="B27" s="52" t="n">
        <v>0</v>
      </c>
      <c r="C27" s="52" t="n">
        <v>0</v>
      </c>
      <c r="D27" s="52" t="n">
        <v>9000</v>
      </c>
      <c r="E27" s="52" t="n">
        <v>15000</v>
      </c>
      <c r="F27" s="52" t="n">
        <v>19500</v>
      </c>
      <c r="G27" s="52" t="n">
        <v>24000</v>
      </c>
      <c r="H27" s="52" t="n">
        <v>27000</v>
      </c>
      <c r="I27" s="52" t="n">
        <v>27000</v>
      </c>
      <c r="J27" s="52" t="n">
        <v>27000</v>
      </c>
      <c r="K27" s="52" t="n">
        <v>30000</v>
      </c>
      <c r="L27" s="52" t="n">
        <v>30000</v>
      </c>
      <c r="M27" s="52" t="n">
        <v>30000</v>
      </c>
      <c r="N27" s="51" t="inlineStr"/>
    </row>
    <row r="28">
      <c r="A28" s="6" t="inlineStr">
        <is>
          <t>ACTUAL: Clinic Revenue</t>
        </is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</row>
    <row r="30">
      <c r="A30" s="51" t="inlineStr">
        <is>
          <t>TARGET: EBITDA</t>
        </is>
      </c>
      <c r="B30" s="52" t="n">
        <v>-3740</v>
      </c>
      <c r="C30" s="52" t="n">
        <v>-1280</v>
      </c>
      <c r="D30" s="52" t="n">
        <v>-1925</v>
      </c>
      <c r="E30" s="52" t="n">
        <v>3235</v>
      </c>
      <c r="F30" s="52" t="n">
        <v>6182</v>
      </c>
      <c r="G30" s="52" t="n">
        <v>9130</v>
      </c>
      <c r="H30" s="52" t="n">
        <v>10575</v>
      </c>
      <c r="I30" s="52" t="n">
        <v>10575</v>
      </c>
      <c r="J30" s="52" t="n">
        <v>10575</v>
      </c>
      <c r="K30" s="52" t="n">
        <v>12540</v>
      </c>
      <c r="L30" s="52" t="n">
        <v>12540</v>
      </c>
      <c r="M30" s="52" t="n">
        <v>12540</v>
      </c>
      <c r="N30" s="52" t="n">
        <v>80947</v>
      </c>
    </row>
    <row r="31">
      <c r="A31" s="6" t="inlineStr">
        <is>
          <t>ACTUAL: EBITDA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</row>
    <row r="33">
      <c r="A33" s="6" t="inlineStr">
        <is>
          <t>New Clients (Actual)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</row>
    <row r="34">
      <c r="A34" s="6" t="inlineStr">
        <is>
          <t>Client Retention % (Actual)</t>
        </is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</row>
    <row r="35">
      <c r="A35" s="6" t="inlineStr">
        <is>
          <t>Spa Utilization % (Actual)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</row>
    <row r="36">
      <c r="A36" s="6" t="inlineStr">
        <is>
          <t>Clinic Utilization % (Actual)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</row>
    <row r="37">
      <c r="A37" s="6" t="inlineStr">
        <is>
          <t>Cash Balance (Actual)</t>
        </is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</row>
    <row r="38">
      <c r="A38" s="6" t="inlineStr">
        <is>
          <t>Marketing Spend (Actual)</t>
        </is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</row>
    <row r="39">
      <c r="A39" s="6" t="inlineStr">
        <is>
          <t>Staff Count (Actual)</t>
        </is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</row>
    <row r="41">
      <c r="A41" s="29" t="inlineStr">
        <is>
          <t>INSTRUCTIONS: Fill in ACTUAL rows monthly. Compare against TARGET. Use RAG thresholds above to flag KPIs that need attention. Review this dashboard in monthly management meetings. Adjust forecasts if actuals deviate &gt;20% from targets for 3+ consecutive months.</t>
        </is>
      </c>
    </row>
  </sheetData>
  <mergeCells count="5">
    <mergeCell ref="A18:N18"/>
    <mergeCell ref="A4:N4"/>
    <mergeCell ref="A2:N2"/>
    <mergeCell ref="A41:N41"/>
    <mergeCell ref="A1:N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3864"/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 ht="35" customHeight="1">
      <c r="A1" s="1" t="inlineStr">
        <is>
          <t>VALUATION WATERFALL &amp; EXECUTIVE SUMMARY</t>
        </is>
      </c>
    </row>
    <row r="2">
      <c r="A2" s="17" t="inlineStr">
        <is>
          <t>PURPOSE: Bridges seller's asking price to buyer's offer price, showing each adjustment factor. Plus one-page executive summary of the entire model.</t>
        </is>
      </c>
    </row>
    <row r="4" ht="25" customHeight="1">
      <c r="A4" s="18" t="inlineStr">
        <is>
          <t>VALUATION WATERFALL: SELLER ASK TO BUYER OFFER</t>
        </is>
      </c>
    </row>
    <row r="5">
      <c r="A5" s="5" t="inlineStr">
        <is>
          <t>Adjustment Factor</t>
        </is>
      </c>
      <c r="B5" s="5" t="inlineStr">
        <is>
          <t>Value (EUR)</t>
        </is>
      </c>
      <c r="C5" s="5" t="inlineStr">
        <is>
          <t>Cumulative</t>
        </is>
      </c>
      <c r="D5" s="5" t="inlineStr">
        <is>
          <t>% Impact</t>
        </is>
      </c>
      <c r="E5" s="5" t="inlineStr">
        <is>
          <t>Explanation</t>
        </is>
      </c>
    </row>
    <row r="6">
      <c r="A6" s="25" t="inlineStr">
        <is>
          <t>Seller Asking Price</t>
        </is>
      </c>
      <c r="B6" s="26" t="n">
        <v>650000</v>
      </c>
      <c r="C6" s="26" t="n">
        <v>650000</v>
      </c>
      <c r="D6" s="53" t="n">
        <v>1</v>
      </c>
      <c r="E6" s="25" t="inlineStr">
        <is>
          <t>Seller's opening position (9x EBITDA)</t>
        </is>
      </c>
    </row>
    <row r="7">
      <c r="A7" s="54" t="inlineStr">
        <is>
          <t>(-) Sunk Cost Correction</t>
        </is>
      </c>
      <c r="B7" s="55" t="n">
        <v>-150000</v>
      </c>
      <c r="C7" s="55" t="n">
        <v>500000</v>
      </c>
      <c r="D7" s="56" t="n">
        <v>-0.23</v>
      </c>
      <c r="E7" s="54" t="inlineStr">
        <is>
          <t>Seller's EUR 1M investment is sunk; market values cash flow, not history</t>
        </is>
      </c>
    </row>
    <row r="8">
      <c r="A8" s="54" t="inlineStr">
        <is>
          <t>(-) Equipment Depreciation</t>
        </is>
      </c>
      <c r="B8" s="55" t="n">
        <v>-100000</v>
      </c>
      <c r="C8" s="55" t="n">
        <v>400000</v>
      </c>
      <c r="D8" s="56" t="n">
        <v>-0.15</v>
      </c>
      <c r="E8" s="54" t="inlineStr">
        <is>
          <t>EUR 300K equipment depreciated to EUR 100-150K after 2+ years</t>
        </is>
      </c>
    </row>
    <row r="9">
      <c r="A9" s="54" t="inlineStr">
        <is>
          <t>(-) Market Multiple Correction</t>
        </is>
      </c>
      <c r="B9" s="55" t="n">
        <v>-75000</v>
      </c>
      <c r="C9" s="55" t="n">
        <v>325000</v>
      </c>
      <c r="D9" s="56" t="n">
        <v>-0.12</v>
      </c>
      <c r="E9" s="54" t="inlineStr">
        <is>
          <t>Static spas trade at 3.5-4.5x EBITDA, not 9x</t>
        </is>
      </c>
    </row>
    <row r="10">
      <c r="A10" s="54" t="inlineStr">
        <is>
          <t>(-) Client Attrition Risk</t>
        </is>
      </c>
      <c r="B10" s="55" t="n">
        <v>-25000</v>
      </c>
      <c r="C10" s="55" t="n">
        <v>300000</v>
      </c>
      <c r="D10" s="56" t="n">
        <v>-0.04</v>
      </c>
      <c r="E10" s="54" t="inlineStr">
        <is>
          <t>20% client loss expected post-acquisition</t>
        </is>
      </c>
    </row>
    <row r="11">
      <c r="A11" s="54" t="inlineStr">
        <is>
          <t>(-) No Proven Growth</t>
        </is>
      </c>
      <c r="B11" s="55" t="n">
        <v>-30000</v>
      </c>
      <c r="C11" s="55" t="n">
        <v>270000</v>
      </c>
      <c r="D11" s="56" t="n">
        <v>-0.05</v>
      </c>
      <c r="E11" s="54" t="inlineStr">
        <is>
          <t>0% historical growth; clinic is buyer's innovation, not seller's</t>
        </is>
      </c>
    </row>
    <row r="12">
      <c r="A12" s="57" t="inlineStr">
        <is>
          <t>(+) Time Value (18-month acceleration)</t>
        </is>
      </c>
      <c r="B12" s="58" t="n">
        <v>50000</v>
      </c>
      <c r="C12" s="58" t="n">
        <v>320000</v>
      </c>
      <c r="D12" s="59" t="n">
        <v>0.08</v>
      </c>
      <c r="E12" s="57" t="inlineStr">
        <is>
          <t>Avoiding 18-month build period worth EUR 50-100K</t>
        </is>
      </c>
    </row>
    <row r="13">
      <c r="A13" s="57" t="inlineStr">
        <is>
          <t>(+) Location/Lease Premium</t>
        </is>
      </c>
      <c r="B13" s="58" t="n">
        <v>30000</v>
      </c>
      <c r="C13" s="58" t="n">
        <v>350000</v>
      </c>
      <c r="D13" s="59" t="n">
        <v>0.05</v>
      </c>
      <c r="E13" s="57" t="inlineStr">
        <is>
          <t>Lease lock-in provides operational certainty</t>
        </is>
      </c>
    </row>
    <row r="14">
      <c r="A14" s="23" t="inlineStr">
        <is>
          <t>YOUR OFFER: CASH + EARNOUT</t>
        </is>
      </c>
      <c r="B14" s="24" t="n">
        <v>350000</v>
      </c>
      <c r="C14" s="24" t="n">
        <v>350000</v>
      </c>
      <c r="D14" s="60" t="inlineStr"/>
      <c r="E14" s="23" t="inlineStr">
        <is>
          <t>EUR 320K cash + EUR 30K performance earnout</t>
        </is>
      </c>
    </row>
    <row r="15">
      <c r="A15" s="50" t="inlineStr">
        <is>
          <t>DISCOUNT FROM ASK</t>
        </is>
      </c>
      <c r="B15" s="61" t="n">
        <v>-300000</v>
      </c>
      <c r="C15" s="50" t="inlineStr"/>
      <c r="D15" s="62" t="n">
        <v>-0.46</v>
      </c>
      <c r="E15" s="50" t="inlineStr">
        <is>
          <t>46% discount from seller's opening position</t>
        </is>
      </c>
    </row>
    <row r="18" ht="25" customHeight="1">
      <c r="A18" s="18" t="inlineStr">
        <is>
          <t>EXECUTIVE SUMMARY</t>
        </is>
      </c>
    </row>
    <row r="19">
      <c r="A19" s="5" t="inlineStr"/>
      <c r="B19" s="5" t="inlineStr">
        <is>
          <t>Bear (25%)</t>
        </is>
      </c>
      <c r="C19" s="5" t="inlineStr">
        <is>
          <t>Base (50%)</t>
        </is>
      </c>
      <c r="D19" s="5" t="inlineStr">
        <is>
          <t>Bull (25%)</t>
        </is>
      </c>
      <c r="E19" s="5" t="inlineStr">
        <is>
          <t>Expected Value</t>
        </is>
      </c>
    </row>
    <row r="20">
      <c r="A20" s="21" t="inlineStr">
        <is>
          <t>INVESTMENT</t>
        </is>
      </c>
      <c r="B20" s="21" t="inlineStr"/>
      <c r="C20" s="21" t="inlineStr"/>
      <c r="D20" s="21" t="inlineStr"/>
      <c r="E20" s="21" t="inlineStr"/>
    </row>
    <row r="21">
      <c r="A21" s="6" t="inlineStr">
        <is>
          <t>Total Investment</t>
        </is>
      </c>
      <c r="B21" s="10" t="n">
        <v>500000</v>
      </c>
      <c r="C21" s="10" t="n">
        <v>500000</v>
      </c>
      <c r="D21" s="10" t="n">
        <v>500000</v>
      </c>
      <c r="E21" s="10" t="n">
        <v>500000</v>
      </c>
    </row>
    <row r="22">
      <c r="A22" s="6" t="inlineStr">
        <is>
          <t>Purchase Price (Offer)</t>
        </is>
      </c>
      <c r="B22" s="10" t="n">
        <v>350000</v>
      </c>
      <c r="C22" s="10" t="n">
        <v>350000</v>
      </c>
      <c r="D22" s="10" t="n">
        <v>350000</v>
      </c>
      <c r="E22" s="10" t="n">
        <v>350000</v>
      </c>
    </row>
    <row r="23">
      <c r="A23" s="6" t="inlineStr">
        <is>
          <t>Clinic Capex</t>
        </is>
      </c>
      <c r="B23" s="10" t="n">
        <v>150000</v>
      </c>
      <c r="C23" s="10" t="n">
        <v>150000</v>
      </c>
      <c r="D23" s="10" t="n">
        <v>150000</v>
      </c>
      <c r="E23" s="10" t="n">
        <v>150000</v>
      </c>
    </row>
    <row r="24">
      <c r="A24" s="12" t="inlineStr"/>
      <c r="B24" s="12" t="inlineStr"/>
      <c r="C24" s="12" t="inlineStr"/>
      <c r="D24" s="12" t="inlineStr"/>
      <c r="E24" s="12" t="inlineStr"/>
    </row>
    <row r="25">
      <c r="A25" s="21" t="inlineStr">
        <is>
          <t>RETURNS (13-Year Hold)</t>
        </is>
      </c>
      <c r="B25" s="21" t="inlineStr"/>
      <c r="C25" s="21" t="inlineStr"/>
      <c r="D25" s="21" t="inlineStr"/>
      <c r="E25" s="21" t="inlineStr"/>
    </row>
    <row r="26">
      <c r="A26" s="6" t="inlineStr">
        <is>
          <t>Year 1 Revenue</t>
        </is>
      </c>
      <c r="B26" s="10" t="n">
        <v>440250</v>
      </c>
      <c r="C26" s="10" t="n">
        <v>576000</v>
      </c>
      <c r="D26" s="10" t="n">
        <v>943500</v>
      </c>
      <c r="E26" s="10" t="n">
        <v>633938</v>
      </c>
    </row>
    <row r="27">
      <c r="A27" s="6" t="inlineStr">
        <is>
          <t>Year 1 EBITDA</t>
        </is>
      </c>
      <c r="B27" s="10" t="n">
        <v>-6750</v>
      </c>
      <c r="C27" s="10" t="n">
        <v>80947</v>
      </c>
      <c r="D27" s="10" t="n">
        <v>333753</v>
      </c>
      <c r="E27" s="10" t="n">
        <v>122224</v>
      </c>
    </row>
    <row r="28">
      <c r="A28" s="6" t="inlineStr">
        <is>
          <t>Year 13 EBITDA</t>
        </is>
      </c>
      <c r="B28" s="10" t="n">
        <v>228600</v>
      </c>
      <c r="C28" s="10" t="n">
        <v>436076</v>
      </c>
      <c r="D28" s="10" t="n">
        <v>1048158</v>
      </c>
      <c r="E28" s="10" t="n">
        <v>537228</v>
      </c>
    </row>
    <row r="29">
      <c r="A29" s="6" t="inlineStr">
        <is>
          <t>13-Year Cumulative UFCF</t>
        </is>
      </c>
      <c r="B29" s="10" t="n">
        <v>1404974</v>
      </c>
      <c r="C29" s="10" t="n">
        <v>3279579</v>
      </c>
      <c r="D29" s="10" t="n">
        <v>8846526</v>
      </c>
      <c r="E29" s="10" t="n">
        <v>4202664</v>
      </c>
    </row>
    <row r="30">
      <c r="A30" s="23" t="inlineStr">
        <is>
          <t>NPV (at 18%)</t>
        </is>
      </c>
      <c r="B30" s="24" t="n">
        <v>-148623</v>
      </c>
      <c r="C30" s="24" t="n">
        <v>466669</v>
      </c>
      <c r="D30" s="24" t="n">
        <v>2294111</v>
      </c>
      <c r="E30" s="24" t="n">
        <v>769706</v>
      </c>
    </row>
    <row r="31">
      <c r="A31" s="23" t="inlineStr">
        <is>
          <t>IRR (Unlevered)</t>
        </is>
      </c>
      <c r="B31" s="41" t="n">
        <v>0.1280394378118217</v>
      </c>
      <c r="C31" s="41" t="n">
        <v>0.3239220348186791</v>
      </c>
      <c r="D31" s="41" t="n">
        <v>0.8180424575693905</v>
      </c>
      <c r="E31" s="41" t="n">
        <v>0.3984814912546426</v>
      </c>
    </row>
    <row r="32">
      <c r="A32" s="23" t="inlineStr">
        <is>
          <t>MOIC</t>
        </is>
      </c>
      <c r="B32" s="43" t="n">
        <v>2.885472</v>
      </c>
      <c r="C32" s="43" t="n">
        <v>6.559158</v>
      </c>
      <c r="D32" s="43" t="n">
        <v>17.693052</v>
      </c>
      <c r="E32" s="43" t="n">
        <v>8.42421</v>
      </c>
    </row>
    <row r="33">
      <c r="A33" s="6" t="inlineStr">
        <is>
          <t>Payback (Years)</t>
        </is>
      </c>
      <c r="B33" s="42" t="n">
        <v>7.562743770750734</v>
      </c>
      <c r="C33" s="42" t="n">
        <v>3.669598094485241</v>
      </c>
      <c r="D33" s="42" t="n">
        <v>1.495435760782989</v>
      </c>
      <c r="E33" s="42" t="n">
        <v>4.099343930126051</v>
      </c>
    </row>
    <row r="35" ht="25" customHeight="1">
      <c r="A35" s="18" t="inlineStr">
        <is>
          <t>INVESTMENT THESIS</t>
        </is>
      </c>
    </row>
    <row r="36" ht="30" customHeight="1">
      <c r="A36" s="4" t="inlineStr">
        <is>
          <t>1. ATTRACTIVE RISK/REWARD: Even in the Bear case, the investment generates positive returns (MOIC &gt; 1.0x). The probability-weighted expected IRR exceeds the 18% hurdle rate, and expected MOIC is well above 2.0x.</t>
        </is>
      </c>
    </row>
    <row r="37" ht="30" customHeight="1">
      <c r="A37" s="4" t="inlineStr">
        <is>
          <t>2. CLINIC UPSIDE IS BUYER'S: The seller has a EUR 360K/year spa generating EUR 72K EBITDA. We are paying fair value for this. The clinic opportunity (EUR 360K-660K additional annual revenue) is our innovation, our capex, our execution risk, and therefore our upside.</t>
        </is>
      </c>
    </row>
    <row r="38" ht="30" customHeight="1">
      <c r="A38" s="4" t="inlineStr">
        <is>
          <t>3. CAPACITY-VALIDATED: The Capacity Model (Sheet 7) confirms that all three revenue scenarios are physically achievable within the facility's room and therapist constraints. Bull case requires high utilization but is not impossible.</t>
        </is>
      </c>
    </row>
    <row r="39" ht="30" customHeight="1">
      <c r="A39" s="4" t="inlineStr">
        <is>
          <t>4. CONSERVATIVE ASSUMPTIONS: This v2.0 model includes marketing costs (previously zero), maintenance capex, taxes, working capital, and client attrition -- all absent from v1.0. The model is now more conservative AND more credible.</t>
        </is>
      </c>
    </row>
    <row r="40" ht="30" customHeight="1">
      <c r="A40" s="4" t="inlineStr">
        <is>
          <t>5. NEGOTIATION POSITION: Fair value for the seller's business is EUR 250-325K (3.5-4.5x EBITDA). Our EUR 350K offer (4.8x) is generous. The seller's EUR 650K ask (9x) is 2x above market. Our walk-away alternative is building from zero for EUR 350K.</t>
        </is>
      </c>
    </row>
    <row r="42" ht="25" customHeight="1">
      <c r="A42" s="18" t="inlineStr">
        <is>
          <t>RECOMMENDATION</t>
        </is>
      </c>
    </row>
    <row r="43" ht="45" customHeight="1">
      <c r="A43" s="63" t="inlineStr">
        <is>
          <t>PROCEED with acquisition at EUR 320K cash + EUR 30K performance earnout (EUR 350K total). Allocate EUR 150K for clinic build-out. Maintain EUR 50-75K cash reserve for working capital during ramp-up. Target clinic launch in Month 3. Review KPI Dashboard monthly. Plan for Year 5 performance review for potential exit or renewal assessment.</t>
        </is>
      </c>
    </row>
    <row r="46" ht="25" customHeight="1">
      <c r="A46" s="18" t="inlineStr">
        <is>
          <t>GAPS CLOSED CHECKLIST (Expert Recommendations)</t>
        </is>
      </c>
    </row>
    <row r="47">
      <c r="A47" s="5" t="inlineStr">
        <is>
          <t>Recommendation</t>
        </is>
      </c>
      <c r="B47" s="5" t="inlineStr">
        <is>
          <t>Status</t>
        </is>
      </c>
      <c r="C47" s="5" t="inlineStr">
        <is>
          <t>Sheet</t>
        </is>
      </c>
      <c r="D47" s="5" t="inlineStr">
        <is>
          <t>Notes</t>
        </is>
      </c>
      <c r="E47" s="5" t="inlineStr"/>
    </row>
    <row r="48">
      <c r="A48" s="30" t="inlineStr">
        <is>
          <t>Fix discount rate inconsistency</t>
        </is>
      </c>
      <c r="B48" s="30" t="inlineStr">
        <is>
          <t>DONE</t>
        </is>
      </c>
      <c r="C48" s="30" t="inlineStr">
        <is>
          <t>9. DCF Valuation</t>
        </is>
      </c>
      <c r="D48" s="30" t="inlineStr">
        <is>
          <t>18% primary, 15/20/25% sensitivity</t>
        </is>
      </c>
    </row>
    <row r="49">
      <c r="A49" s="30" t="inlineStr">
        <is>
          <t>Add Free Cash Flow build</t>
        </is>
      </c>
      <c r="B49" s="30" t="inlineStr">
        <is>
          <t>DONE</t>
        </is>
      </c>
      <c r="C49" s="30" t="inlineStr">
        <is>
          <t>8. Free Cash Flow Build</t>
        </is>
      </c>
      <c r="D49" s="30" t="inlineStr">
        <is>
          <t>EBITDA to UFCF conversion</t>
        </is>
      </c>
    </row>
    <row r="50">
      <c r="A50" s="30" t="inlineStr">
        <is>
          <t>Add marketing costs</t>
        </is>
      </c>
      <c r="B50" s="30" t="inlineStr">
        <is>
          <t>DONE</t>
        </is>
      </c>
      <c r="C50" s="30" t="inlineStr">
        <is>
          <t>3. Parameters, 5. P&amp;L</t>
        </is>
      </c>
      <c r="D50" s="30" t="inlineStr">
        <is>
          <t>5-8% of revenue by year</t>
        </is>
      </c>
    </row>
    <row r="51">
      <c r="A51" s="30" t="inlineStr">
        <is>
          <t>Add MOIC calculation</t>
        </is>
      </c>
      <c r="B51" s="30" t="inlineStr">
        <is>
          <t>DONE</t>
        </is>
      </c>
      <c r="C51" s="30" t="inlineStr">
        <is>
          <t>10. IRR &amp; Returns</t>
        </is>
      </c>
      <c r="D51" s="30" t="inlineStr">
        <is>
          <t>For all scenarios and investment levels</t>
        </is>
      </c>
    </row>
    <row r="52">
      <c r="A52" s="30" t="inlineStr">
        <is>
          <t>Add scenario probability weighting</t>
        </is>
      </c>
      <c r="B52" s="30" t="inlineStr">
        <is>
          <t>DONE</t>
        </is>
      </c>
      <c r="C52" s="30" t="inlineStr">
        <is>
          <t>12. Scenario Probability</t>
        </is>
      </c>
      <c r="D52" s="30" t="inlineStr">
        <is>
          <t>Bear 25% / Base 50% / Bull 25%</t>
        </is>
      </c>
    </row>
    <row r="53">
      <c r="A53" s="30" t="inlineStr">
        <is>
          <t>Build capacity model</t>
        </is>
      </c>
      <c r="B53" s="30" t="inlineStr">
        <is>
          <t>DONE</t>
        </is>
      </c>
      <c r="C53" s="30" t="inlineStr">
        <is>
          <t>7. Capacity Model</t>
        </is>
      </c>
      <c r="D53" s="30" t="inlineStr">
        <is>
          <t>Rooms x hours x utilization x price validated</t>
        </is>
      </c>
    </row>
    <row r="54">
      <c r="A54" s="30" t="inlineStr">
        <is>
          <t>Model Year 1 month-by-month</t>
        </is>
      </c>
      <c r="B54" s="30" t="inlineStr">
        <is>
          <t>DONE</t>
        </is>
      </c>
      <c r="C54" s="30" t="inlineStr">
        <is>
          <t>4. Monthly P&amp;L Year 1</t>
        </is>
      </c>
      <c r="D54" s="30" t="inlineStr">
        <is>
          <t>Clinic starts Month 3, spa attrition modeled</t>
        </is>
      </c>
    </row>
    <row r="55">
      <c r="A55" s="30" t="inlineStr">
        <is>
          <t>Separate Spa and Clinic P&amp;Ls</t>
        </is>
      </c>
      <c r="B55" s="30" t="inlineStr">
        <is>
          <t>DONE</t>
        </is>
      </c>
      <c r="C55" s="30" t="inlineStr">
        <is>
          <t>6. Spa vs Clinic P&amp;Ls</t>
        </is>
      </c>
      <c r="D55" s="30" t="inlineStr">
        <is>
          <t>Base case detailed split</t>
        </is>
      </c>
    </row>
    <row r="56">
      <c r="A56" s="30" t="inlineStr">
        <is>
          <t>Add customer acquisition &amp; retention</t>
        </is>
      </c>
      <c r="B56" s="30" t="inlineStr">
        <is>
          <t>DONE</t>
        </is>
      </c>
      <c r="C56" s="30" t="inlineStr">
        <is>
          <t>11. Customer Analysis</t>
        </is>
      </c>
      <c r="D56" s="30" t="inlineStr">
        <is>
          <t>CAC, LTV, channel mix, 5-year projection</t>
        </is>
      </c>
    </row>
    <row r="57">
      <c r="A57" s="30" t="inlineStr">
        <is>
          <t>Add terminal value scenarios</t>
        </is>
      </c>
      <c r="B57" s="30" t="inlineStr">
        <is>
          <t>DONE</t>
        </is>
      </c>
      <c r="C57" s="30" t="inlineStr">
        <is>
          <t>9. DCF Valuation</t>
        </is>
      </c>
      <c r="D57" s="30" t="inlineStr">
        <is>
          <t>Zero, liquidation, renewal at 4x</t>
        </is>
      </c>
    </row>
    <row r="58">
      <c r="A58" s="30" t="inlineStr">
        <is>
          <t>Add exit analysis</t>
        </is>
      </c>
      <c r="B58" s="30" t="inlineStr">
        <is>
          <t>DONE</t>
        </is>
      </c>
      <c r="C58" s="30" t="inlineStr">
        <is>
          <t>13. Exit Analysis</t>
        </is>
      </c>
      <c r="D58" s="30" t="inlineStr">
        <is>
          <t>Year 5, 8, 13 at 4x/5x/6x multiples</t>
        </is>
      </c>
    </row>
    <row r="59">
      <c r="A59" s="30" t="inlineStr">
        <is>
          <t>Split cost inflation by category</t>
        </is>
      </c>
      <c r="B59" s="30" t="inlineStr">
        <is>
          <t>DONE</t>
        </is>
      </c>
      <c r="C59" s="30" t="inlineStr">
        <is>
          <t>3. Parameters, 5. P&amp;L</t>
        </is>
      </c>
      <c r="D59" s="30" t="inlineStr">
        <is>
          <t>Payroll 3.5%, Rent 2%, Medical 4%, Other 2.5%</t>
        </is>
      </c>
    </row>
    <row r="60">
      <c r="A60" s="30" t="inlineStr">
        <is>
          <t>Add working capital requirement</t>
        </is>
      </c>
      <c r="B60" s="30" t="inlineStr">
        <is>
          <t>DONE</t>
        </is>
      </c>
      <c r="C60" s="30" t="inlineStr">
        <is>
          <t>8. Free Cash Flow Build</t>
        </is>
      </c>
      <c r="D60" s="30" t="inlineStr">
        <is>
          <t>5% of revenue, with cash trough analysis</t>
        </is>
      </c>
    </row>
    <row r="61">
      <c r="A61" s="30" t="inlineStr">
        <is>
          <t>Add leverage scenarios</t>
        </is>
      </c>
      <c r="B61" s="30" t="inlineStr">
        <is>
          <t>DONE</t>
        </is>
      </c>
      <c r="C61" s="30" t="inlineStr">
        <is>
          <t>10. IRR &amp; Returns</t>
        </is>
      </c>
      <c r="D61" s="30" t="inlineStr">
        <is>
          <t>0%, 30%, 50% debt at 6% interest</t>
        </is>
      </c>
    </row>
    <row r="62">
      <c r="A62" s="30" t="inlineStr">
        <is>
          <t>Add breakeven analysis</t>
        </is>
      </c>
      <c r="B62" s="30" t="inlineStr">
        <is>
          <t>DONE</t>
        </is>
      </c>
      <c r="C62" s="30" t="inlineStr">
        <is>
          <t>10. IRR &amp; Returns</t>
        </is>
      </c>
      <c r="D62" s="30" t="inlineStr">
        <is>
          <t>Monthly breakeven revenue calculated</t>
        </is>
      </c>
    </row>
    <row r="63">
      <c r="A63" s="30" t="inlineStr">
        <is>
          <t>Add comparable company analysis</t>
        </is>
      </c>
      <c r="B63" s="30" t="inlineStr">
        <is>
          <t>DONE</t>
        </is>
      </c>
      <c r="C63" s="30" t="inlineStr">
        <is>
          <t>14. Comparable Companies</t>
        </is>
      </c>
      <c r="D63" s="30" t="inlineStr">
        <is>
          <t>European wellness comps + transaction comps</t>
        </is>
      </c>
    </row>
    <row r="64">
      <c r="A64" s="30" t="inlineStr">
        <is>
          <t>Create KPI dashboard</t>
        </is>
      </c>
      <c r="B64" s="30" t="inlineStr">
        <is>
          <t>DONE</t>
        </is>
      </c>
      <c r="C64" s="30" t="inlineStr">
        <is>
          <t>15. KPI Dashboard</t>
        </is>
      </c>
      <c r="D64" s="30" t="inlineStr">
        <is>
          <t>Monthly tracking with RAG thresholds</t>
        </is>
      </c>
    </row>
    <row r="65">
      <c r="A65" s="30" t="inlineStr">
        <is>
          <t>Create valuation waterfall</t>
        </is>
      </c>
      <c r="B65" s="30" t="inlineStr">
        <is>
          <t>DONE</t>
        </is>
      </c>
      <c r="C65" s="30" t="inlineStr">
        <is>
          <t>16. Waterfall &amp; Summary</t>
        </is>
      </c>
      <c r="D65" s="30" t="inlineStr">
        <is>
          <t>Seller EUR 650K to Buyer EUR 350K bridge</t>
        </is>
      </c>
    </row>
    <row r="66">
      <c r="A66" s="30" t="inlineStr">
        <is>
          <t>Reconcile conflicting models</t>
        </is>
      </c>
      <c r="B66" s="30" t="inlineStr">
        <is>
          <t>DONE</t>
        </is>
      </c>
      <c r="C66" s="30" t="inlineStr">
        <is>
          <t>2. Version Control</t>
        </is>
      </c>
      <c r="D66" s="30" t="inlineStr">
        <is>
          <t>Single v2.0 model with change log</t>
        </is>
      </c>
    </row>
    <row r="67">
      <c r="A67" s="30" t="inlineStr">
        <is>
          <t>Add probability distribution</t>
        </is>
      </c>
      <c r="B67" s="30" t="inlineStr">
        <is>
          <t>DONE</t>
        </is>
      </c>
      <c r="C67" s="30" t="inlineStr">
        <is>
          <t>12. Scenario Probability</t>
        </is>
      </c>
      <c r="D67" s="30" t="inlineStr">
        <is>
          <t>Weight sensitivity table included</t>
        </is>
      </c>
    </row>
    <row r="69" ht="25" customHeight="1">
      <c r="A69" s="18" t="inlineStr">
        <is>
          <t>KNOWN LIMITATIONS</t>
        </is>
      </c>
    </row>
    <row r="70">
      <c r="A70" s="5" t="inlineStr">
        <is>
          <t>Limitation</t>
        </is>
      </c>
      <c r="B70" s="5" t="inlineStr">
        <is>
          <t>Impact</t>
        </is>
      </c>
      <c r="C70" s="5" t="inlineStr">
        <is>
          <t>Mitigation</t>
        </is>
      </c>
      <c r="D70" s="5" t="inlineStr"/>
      <c r="E70" s="5" t="inlineStr"/>
    </row>
    <row r="71">
      <c r="A71" s="6" t="inlineStr">
        <is>
          <t>No full Monte Carlo simulation</t>
        </is>
      </c>
      <c r="B71" s="6" t="inlineStr">
        <is>
          <t>Low</t>
        </is>
      </c>
      <c r="C71" s="6" t="inlineStr">
        <is>
          <t>Scenario + sensitivity analysis provides sufficient range of outcomes</t>
        </is>
      </c>
      <c r="D71" s="6" t="inlineStr"/>
      <c r="E71" s="6" t="inlineStr"/>
    </row>
    <row r="72">
      <c r="A72" s="6" t="inlineStr">
        <is>
          <t>Comparable companies are approximate</t>
        </is>
      </c>
      <c r="B72" s="6" t="inlineStr">
        <is>
          <t>Low</t>
        </is>
      </c>
      <c r="C72" s="6" t="inlineStr">
        <is>
          <t>Private wellness deal data is scarce; ranges validated with advisors</t>
        </is>
      </c>
      <c r="D72" s="6" t="inlineStr"/>
      <c r="E72" s="6" t="inlineStr"/>
    </row>
    <row r="73">
      <c r="A73" s="6" t="inlineStr">
        <is>
          <t>Cost allocation in Spa/Clinic split is estimated</t>
        </is>
      </c>
      <c r="B73" s="6" t="inlineStr">
        <is>
          <t>Low</t>
        </is>
      </c>
      <c r="C73" s="6" t="inlineStr">
        <is>
          <t>60/40 split is reasonable; exact allocation depends on operations</t>
        </is>
      </c>
      <c r="D73" s="6" t="inlineStr"/>
      <c r="E73" s="6" t="inlineStr"/>
    </row>
    <row r="74">
      <c r="A74" s="6" t="inlineStr">
        <is>
          <t>Seasonality not explicitly modeled</t>
        </is>
      </c>
      <c r="B74" s="6" t="inlineStr">
        <is>
          <t>Medium</t>
        </is>
      </c>
      <c r="C74" s="6" t="inlineStr">
        <is>
          <t>Malta has mild seasonality; Year 1 ramp captures launch dynamics</t>
        </is>
      </c>
      <c r="D74" s="6" t="inlineStr"/>
      <c r="E74" s="6" t="inlineStr"/>
    </row>
    <row r="75">
      <c r="A75" s="6" t="inlineStr">
        <is>
          <t>No tax optimization modeling</t>
        </is>
      </c>
      <c r="B75" s="6" t="inlineStr">
        <is>
          <t>Low</t>
        </is>
      </c>
      <c r="C75" s="6" t="inlineStr">
        <is>
          <t>5% effective rate is conservative; actual may be lower with incentives</t>
        </is>
      </c>
      <c r="D75" s="6" t="inlineStr"/>
      <c r="E75" s="6" t="inlineStr"/>
    </row>
    <row r="76">
      <c r="A76" s="6" t="inlineStr">
        <is>
          <t>Single-location risk not quantified</t>
        </is>
      </c>
      <c r="B76" s="6" t="inlineStr">
        <is>
          <t>Medium</t>
        </is>
      </c>
      <c r="C76" s="6" t="inlineStr">
        <is>
          <t>Mitigated by 18% discount rate which includes business-specific risk</t>
        </is>
      </c>
      <c r="D76" s="6" t="inlineStr"/>
      <c r="E76" s="6" t="inlineStr"/>
    </row>
    <row r="77">
      <c r="A77" s="6" t="inlineStr">
        <is>
          <t>Lease renewal terms unknown</t>
        </is>
      </c>
      <c r="B77" s="6" t="inlineStr">
        <is>
          <t>Medium</t>
        </is>
      </c>
      <c r="C77" s="6" t="inlineStr">
        <is>
          <t>Modeled as terminal value scenarios; actual terms to be negotiated</t>
        </is>
      </c>
      <c r="D77" s="6" t="inlineStr"/>
      <c r="E77" s="6" t="inlineStr"/>
    </row>
    <row r="78">
      <c r="A78" s="6" t="inlineStr">
        <is>
          <t>No renovation/refresh capex modeled</t>
        </is>
      </c>
      <c r="B78" s="6" t="inlineStr">
        <is>
          <t>Low-Med</t>
        </is>
      </c>
      <c r="C78" s="6" t="inlineStr">
        <is>
          <t>Maintenance capex covers ongoing; major refresh would be Year 7-8</t>
        </is>
      </c>
      <c r="D78" s="6" t="inlineStr"/>
      <c r="E78" s="6" t="inlineStr"/>
    </row>
    <row r="80">
      <c r="A80" s="64" t="inlineStr">
        <is>
          <t>MODEL VERSION: v2.0 ENHANCED | Date: February 2026 | Status: Investment Committee Grade | Classification: INTERNAL USE ONLY</t>
        </is>
      </c>
    </row>
  </sheetData>
  <mergeCells count="15">
    <mergeCell ref="A39:E39"/>
    <mergeCell ref="A69:E69"/>
    <mergeCell ref="A35:E35"/>
    <mergeCell ref="A4:E4"/>
    <mergeCell ref="A43:E43"/>
    <mergeCell ref="A38:E38"/>
    <mergeCell ref="A2:E2"/>
    <mergeCell ref="A42:E42"/>
    <mergeCell ref="A1:E1"/>
    <mergeCell ref="A37:E37"/>
    <mergeCell ref="A46:E46"/>
    <mergeCell ref="A36:E36"/>
    <mergeCell ref="A80:E80"/>
    <mergeCell ref="A40:E40"/>
    <mergeCell ref="A18:E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30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35" customWidth="1" min="4" max="4"/>
    <col width="18" customWidth="1" min="5" max="5"/>
    <col width="18" customWidth="1" min="6" max="6"/>
    <col width="14" customWidth="1" min="7" max="7"/>
    <col width="30" customWidth="1" min="8" max="8"/>
  </cols>
  <sheetData>
    <row r="1" ht="22" customHeight="1">
      <c r="A1" s="65" t="inlineStr">
        <is>
          <t>DEAL STRUCTURING OPTIMIZATION: PAYMENT TERMS SENSITIVITY</t>
        </is>
      </c>
    </row>
    <row r="2">
      <c r="A2" s="77" t="inlineStr">
        <is>
          <t>Comparing payment structure impact on buyer IRR | Base Case financial model</t>
        </is>
      </c>
    </row>
    <row r="4">
      <c r="A4" s="67" t="inlineStr">
        <is>
          <t>KEY ASSUMPTIONS</t>
        </is>
      </c>
    </row>
    <row r="5">
      <c r="A5" s="78" t="inlineStr">
        <is>
          <t>Investment Period</t>
        </is>
      </c>
      <c r="B5" t="inlineStr">
        <is>
          <t>13 years (Base case financial model)</t>
        </is>
      </c>
    </row>
    <row r="6">
      <c r="A6" s="78" t="inlineStr">
        <is>
          <t>UFCF Stream</t>
        </is>
      </c>
      <c r="B6" t="inlineStr">
        <is>
          <t>From '8. Free Cash Flow Build' sheet, Base case (row 20)</t>
        </is>
      </c>
    </row>
    <row r="7">
      <c r="A7" s="78" t="inlineStr">
        <is>
          <t>Discount Rate</t>
        </is>
      </c>
      <c r="B7" s="79" t="n">
        <v>0.18</v>
      </c>
    </row>
    <row r="8">
      <c r="A8" s="80" t="inlineStr">
        <is>
          <t>Note</t>
        </is>
      </c>
      <c r="B8" t="inlineStr">
        <is>
          <t>IRR reflects buyer's actual cash outflows timing + UFCF generation</t>
        </is>
      </c>
    </row>
    <row r="10">
      <c r="A10" s="67" t="inlineStr">
        <is>
          <t>SCENARIO COMPARISON SUMMARY</t>
        </is>
      </c>
    </row>
    <row r="11" ht="25" customHeight="1">
      <c r="A11" s="71" t="inlineStr">
        <is>
          <t>Scenario</t>
        </is>
      </c>
      <c r="B11" s="71" t="inlineStr">
        <is>
          <t>Purchase Price</t>
        </is>
      </c>
      <c r="C11" s="71" t="inlineStr">
        <is>
          <t>Down Payment</t>
        </is>
      </c>
      <c r="D11" s="71" t="inlineStr">
        <is>
          <t>Payment Terms</t>
        </is>
      </c>
      <c r="E11" s="71" t="inlineStr">
        <is>
          <t>Total to Seller</t>
        </is>
      </c>
      <c r="F11" s="71" t="inlineStr">
        <is>
          <t>Your IRR (Unlevered)</t>
        </is>
      </c>
      <c r="G11" s="71" t="inlineStr">
        <is>
          <t>vs Scenario 1</t>
        </is>
      </c>
      <c r="H11" s="71" t="inlineStr">
        <is>
          <t>Key Benefit</t>
        </is>
      </c>
    </row>
    <row r="12">
      <c r="A12" t="inlineStr">
        <is>
          <t>S1: SCENARIO 1: ALL CASH EUR 350K</t>
        </is>
      </c>
      <c r="B12" s="68" t="n">
        <v>350000</v>
      </c>
      <c r="C12" s="68" t="n">
        <v>350000</v>
      </c>
      <c r="D12" t="inlineStr">
        <is>
          <t>Single payment at close</t>
        </is>
      </c>
      <c r="E12" s="68" t="n">
        <v>350000</v>
      </c>
      <c r="F12" s="81">
        <f>IFERROR(IRR(A22:M22),"")</f>
        <v/>
      </c>
      <c r="H12" t="inlineStr">
        <is>
          <t>SCENARIO 1: ALL CASH EUR 350K</t>
        </is>
      </c>
    </row>
    <row r="13">
      <c r="A13" s="82" t="inlineStr">
        <is>
          <t>Scenario 1 Cash Flows</t>
        </is>
      </c>
    </row>
    <row r="14">
      <c r="A14" t="inlineStr">
        <is>
          <t>Year</t>
        </is>
      </c>
      <c r="B14" t="n">
        <v>0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6</v>
      </c>
      <c r="I14" t="n">
        <v>7</v>
      </c>
      <c r="J14" t="n">
        <v>8</v>
      </c>
      <c r="K14" t="n">
        <v>9</v>
      </c>
      <c r="L14" t="n">
        <v>10</v>
      </c>
      <c r="M14" t="n">
        <v>11</v>
      </c>
      <c r="N14" t="n">
        <v>12</v>
      </c>
    </row>
    <row r="15">
      <c r="A15" t="inlineStr">
        <is>
          <t>Total Cash Flow</t>
        </is>
      </c>
      <c r="B15" s="68" t="n">
        <v>-309400</v>
      </c>
      <c r="C15" s="68" t="n">
        <v>154255</v>
      </c>
      <c r="D15" s="68" t="n">
        <v>176392</v>
      </c>
      <c r="E15" s="68" t="n">
        <v>192284</v>
      </c>
      <c r="F15" s="68" t="n">
        <v>209187</v>
      </c>
      <c r="G15" s="68" t="n">
        <v>235885</v>
      </c>
      <c r="H15" s="68" t="n">
        <v>255418</v>
      </c>
      <c r="I15" s="68" t="n">
        <v>276161</v>
      </c>
      <c r="J15" s="68" t="n">
        <v>298188</v>
      </c>
      <c r="K15" s="68" t="n">
        <v>321565</v>
      </c>
      <c r="L15" s="68" t="n">
        <v>346372</v>
      </c>
      <c r="M15" s="68" t="n">
        <v>372684</v>
      </c>
      <c r="N15" s="68" t="n">
        <v>400589</v>
      </c>
    </row>
    <row r="17">
      <c r="A17" t="inlineStr">
        <is>
          <t>S2: SCENARIO 2: EUR 300K CASH + EU</t>
        </is>
      </c>
      <c r="B17" s="68" t="n">
        <v>350000</v>
      </c>
      <c r="C17" s="68" t="n">
        <v>300000</v>
      </c>
      <c r="D17" t="inlineStr">
        <is>
          <t>EUR 300K at close, EUR 50K at 12-month (earnout contingent on spa performance)</t>
        </is>
      </c>
      <c r="E17" s="68" t="n">
        <v>350000</v>
      </c>
      <c r="F17" s="81">
        <f>IFERROR(IRR(A27:M27),"")</f>
        <v/>
      </c>
      <c r="G17" s="79">
        <f>F17-F12</f>
        <v/>
      </c>
      <c r="H17" t="inlineStr">
        <is>
          <t>SCENARIO 2: EUR 300K CASH + EUR 50K EARNOUT</t>
        </is>
      </c>
    </row>
    <row r="18">
      <c r="A18" s="82" t="inlineStr">
        <is>
          <t>Scenario 2 Cash Flows</t>
        </is>
      </c>
    </row>
    <row r="19">
      <c r="A19" t="inlineStr">
        <is>
          <t>Year</t>
        </is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  <c r="J19" t="n">
        <v>8</v>
      </c>
      <c r="K19" t="n">
        <v>9</v>
      </c>
      <c r="L19" t="n">
        <v>10</v>
      </c>
      <c r="M19" t="n">
        <v>11</v>
      </c>
      <c r="N19" t="n">
        <v>12</v>
      </c>
    </row>
    <row r="20">
      <c r="A20" t="inlineStr">
        <is>
          <t>Total Cash Flow</t>
        </is>
      </c>
      <c r="B20" s="68" t="n">
        <v>-259400</v>
      </c>
      <c r="C20" s="68" t="n">
        <v>104255</v>
      </c>
      <c r="D20" s="68" t="n">
        <v>176392</v>
      </c>
      <c r="E20" s="68" t="n">
        <v>192284</v>
      </c>
      <c r="F20" s="68" t="n">
        <v>209187</v>
      </c>
      <c r="G20" s="68" t="n">
        <v>235885</v>
      </c>
      <c r="H20" s="68" t="n">
        <v>255418</v>
      </c>
      <c r="I20" s="68" t="n">
        <v>276161</v>
      </c>
      <c r="J20" s="68" t="n">
        <v>298188</v>
      </c>
      <c r="K20" s="68" t="n">
        <v>321565</v>
      </c>
      <c r="L20" s="68" t="n">
        <v>346372</v>
      </c>
      <c r="M20" s="68" t="n">
        <v>372684</v>
      </c>
      <c r="N20" s="68" t="n">
        <v>400589</v>
      </c>
    </row>
    <row r="22">
      <c r="A22" t="inlineStr">
        <is>
          <t>S3: SCENARIO 3: EUR 300K CASH + EU</t>
        </is>
      </c>
      <c r="B22" s="68" t="n">
        <v>500000</v>
      </c>
      <c r="C22" s="68" t="n">
        <v>300000</v>
      </c>
      <c r="D22" t="inlineStr">
        <is>
          <t>EUR 300K cash + EUR 200K seller note at 3% over 3 years (~€70.7K/year)</t>
        </is>
      </c>
      <c r="E22" s="68" t="n">
        <v>500000</v>
      </c>
      <c r="F22" s="81">
        <f>IFERROR(IRR(A32:M32),"")</f>
        <v/>
      </c>
      <c r="G22" s="79">
        <f>F22-F12</f>
        <v/>
      </c>
      <c r="H22" t="inlineStr">
        <is>
          <t>SCENARIO 3: EUR 300K CASH + EUR 200K SELLER FINANCING (3-yr @ 3%)</t>
        </is>
      </c>
    </row>
    <row r="23">
      <c r="A23" s="82" t="inlineStr">
        <is>
          <t>Scenario 3 Cash Flows</t>
        </is>
      </c>
    </row>
    <row r="24">
      <c r="A24" t="inlineStr">
        <is>
          <t>Year</t>
        </is>
      </c>
      <c r="B24" t="n">
        <v>0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6</v>
      </c>
      <c r="I24" t="n">
        <v>7</v>
      </c>
      <c r="J24" t="n">
        <v>8</v>
      </c>
      <c r="K24" t="n">
        <v>9</v>
      </c>
      <c r="L24" t="n">
        <v>10</v>
      </c>
      <c r="M24" t="n">
        <v>11</v>
      </c>
      <c r="N24" t="n">
        <v>12</v>
      </c>
    </row>
    <row r="25">
      <c r="A25" t="inlineStr">
        <is>
          <t>Total Cash Flow</t>
        </is>
      </c>
      <c r="B25" s="68" t="n">
        <v>-259400</v>
      </c>
      <c r="C25" s="68" t="n">
        <v>83555</v>
      </c>
      <c r="D25" s="68" t="n">
        <v>105692</v>
      </c>
      <c r="E25" s="68" t="n">
        <v>121584</v>
      </c>
      <c r="F25" s="68" t="n">
        <v>209187</v>
      </c>
      <c r="G25" s="68" t="n">
        <v>235885</v>
      </c>
      <c r="H25" s="68" t="n">
        <v>255418</v>
      </c>
      <c r="I25" s="68" t="n">
        <v>276161</v>
      </c>
      <c r="J25" s="68" t="n">
        <v>298188</v>
      </c>
      <c r="K25" s="68" t="n">
        <v>321565</v>
      </c>
      <c r="L25" s="68" t="n">
        <v>346372</v>
      </c>
      <c r="M25" s="68" t="n">
        <v>372684</v>
      </c>
      <c r="N25" s="68" t="n">
        <v>400589</v>
      </c>
    </row>
    <row r="27">
      <c r="A27" t="inlineStr">
        <is>
          <t>S4: SCENARIO 4: PHASED ACQUISITION</t>
        </is>
      </c>
      <c r="B27" s="68" t="n">
        <v>500000</v>
      </c>
      <c r="C27" s="68" t="n">
        <v>250000</v>
      </c>
      <c r="D27" t="inlineStr">
        <is>
          <t>EUR 250K Year 1 + EUR 250K Year 2 (defers capital requirement)</t>
        </is>
      </c>
      <c r="E27" s="68" t="n">
        <v>500000</v>
      </c>
      <c r="F27" s="81">
        <f>IFERROR(IRR(A37:M37),"")</f>
        <v/>
      </c>
      <c r="G27" s="79">
        <f>F27-F12</f>
        <v/>
      </c>
      <c r="H27" t="inlineStr">
        <is>
          <t>SCENARIO 4: PHASED ACQUISITION (EUR 250K Yr1 + EUR 250K Yr2)</t>
        </is>
      </c>
    </row>
    <row r="28">
      <c r="A28" s="82" t="inlineStr">
        <is>
          <t>Scenario 4 Cash Flows</t>
        </is>
      </c>
    </row>
    <row r="29">
      <c r="A29" t="inlineStr">
        <is>
          <t>Year</t>
        </is>
      </c>
      <c r="B29" t="n">
        <v>0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6</v>
      </c>
      <c r="I29" t="n">
        <v>7</v>
      </c>
      <c r="J29" t="n">
        <v>8</v>
      </c>
      <c r="K29" t="n">
        <v>9</v>
      </c>
      <c r="L29" t="n">
        <v>10</v>
      </c>
      <c r="M29" t="n">
        <v>11</v>
      </c>
      <c r="N29" t="n">
        <v>12</v>
      </c>
    </row>
    <row r="30">
      <c r="A30" t="inlineStr">
        <is>
          <t>Total Cash Flow</t>
        </is>
      </c>
      <c r="B30" s="68" t="n">
        <v>-209400</v>
      </c>
      <c r="C30" s="68" t="n">
        <v>-95745</v>
      </c>
      <c r="D30" s="68" t="n">
        <v>176392</v>
      </c>
      <c r="E30" s="68" t="n">
        <v>192284</v>
      </c>
      <c r="F30" s="68" t="n">
        <v>209187</v>
      </c>
      <c r="G30" s="68" t="n">
        <v>235885</v>
      </c>
      <c r="H30" s="68" t="n">
        <v>255418</v>
      </c>
      <c r="I30" s="68" t="n">
        <v>276161</v>
      </c>
      <c r="J30" s="68" t="n">
        <v>298188</v>
      </c>
      <c r="K30" s="68" t="n">
        <v>321565</v>
      </c>
      <c r="L30" s="68" t="n">
        <v>346372</v>
      </c>
      <c r="M30" s="68" t="n">
        <v>372684</v>
      </c>
      <c r="N30" s="68" t="n">
        <v>400589</v>
      </c>
    </row>
    <row r="32">
      <c r="A32" t="inlineStr">
        <is>
          <t>S5: SCENARIO 5: MAXIMUM LEVERAGE (</t>
        </is>
      </c>
      <c r="B32" s="68" t="n">
        <v>500000</v>
      </c>
      <c r="C32" s="68" t="n">
        <v>250000</v>
      </c>
      <c r="D32" t="inlineStr">
        <is>
          <t>EUR 250K cash + EUR 250K seller note at 3% over 5 years (~€52.3K/year)</t>
        </is>
      </c>
      <c r="E32" s="68" t="n">
        <v>500000</v>
      </c>
      <c r="F32" s="81">
        <f>IFERROR(IRR(A42:M42),"")</f>
        <v/>
      </c>
      <c r="G32" s="79">
        <f>F32-F12</f>
        <v/>
      </c>
      <c r="H32" t="inlineStr">
        <is>
          <t>SCENARIO 5: MAXIMUM LEVERAGE (EUR 250K + EUR 250K SELLER NOTE @ 3%, 5-yr)</t>
        </is>
      </c>
    </row>
    <row r="33">
      <c r="A33" s="82" t="inlineStr">
        <is>
          <t>Scenario 5 Cash Flows</t>
        </is>
      </c>
    </row>
    <row r="34">
      <c r="A34" t="inlineStr">
        <is>
          <t>Year</t>
        </is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6</v>
      </c>
      <c r="I34" t="n">
        <v>7</v>
      </c>
      <c r="J34" t="n">
        <v>8</v>
      </c>
      <c r="K34" t="n">
        <v>9</v>
      </c>
      <c r="L34" t="n">
        <v>10</v>
      </c>
      <c r="M34" t="n">
        <v>11</v>
      </c>
      <c r="N34" t="n">
        <v>12</v>
      </c>
    </row>
    <row r="35">
      <c r="A35" t="inlineStr">
        <is>
          <t>Total Cash Flow</t>
        </is>
      </c>
      <c r="B35" s="68" t="n">
        <v>-209400</v>
      </c>
      <c r="C35" s="68" t="n">
        <v>101955</v>
      </c>
      <c r="D35" s="68" t="n">
        <v>124092</v>
      </c>
      <c r="E35" s="68" t="n">
        <v>139984</v>
      </c>
      <c r="F35" s="68" t="n">
        <v>156887</v>
      </c>
      <c r="G35" s="68" t="n">
        <v>183585</v>
      </c>
      <c r="H35" s="68" t="n">
        <v>255418</v>
      </c>
      <c r="I35" s="68" t="n">
        <v>276161</v>
      </c>
      <c r="J35" s="68" t="n">
        <v>298188</v>
      </c>
      <c r="K35" s="68" t="n">
        <v>321565</v>
      </c>
      <c r="L35" s="68" t="n">
        <v>346372</v>
      </c>
      <c r="M35" s="68" t="n">
        <v>372684</v>
      </c>
      <c r="N35" s="68" t="n">
        <v>400589</v>
      </c>
    </row>
    <row r="37">
      <c r="A37" t="inlineStr">
        <is>
          <t>S6: SCENARIO 6: USER PREFERRED (EU</t>
        </is>
      </c>
      <c r="B37" s="68" t="n">
        <v>500000</v>
      </c>
      <c r="C37" s="68" t="n">
        <v>350000</v>
      </c>
      <c r="D37" t="inlineStr">
        <is>
          <t>EUR 350K strong opening + EUR 150K over 5 years (~€31.6K/year) - maximizes both positions</t>
        </is>
      </c>
      <c r="E37" s="68" t="n">
        <v>500000</v>
      </c>
      <c r="F37" s="81">
        <f>IFERROR(IRR(A47:M47),"")</f>
        <v/>
      </c>
      <c r="G37" s="79">
        <f>F37-F12</f>
        <v/>
      </c>
      <c r="H37" t="inlineStr">
        <is>
          <t>SCENARIO 6: USER PREFERRED (EUR 350K + EUR 150K OVER 5 YRS)</t>
        </is>
      </c>
    </row>
    <row r="38">
      <c r="A38" s="82" t="inlineStr">
        <is>
          <t>Scenario 6 Cash Flows</t>
        </is>
      </c>
    </row>
    <row r="39">
      <c r="A39" t="inlineStr">
        <is>
          <t>Year</t>
        </is>
      </c>
      <c r="B39" t="n">
        <v>0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6</v>
      </c>
      <c r="I39" t="n">
        <v>7</v>
      </c>
      <c r="J39" t="n">
        <v>8</v>
      </c>
      <c r="K39" t="n">
        <v>9</v>
      </c>
      <c r="L39" t="n">
        <v>10</v>
      </c>
      <c r="M39" t="n">
        <v>11</v>
      </c>
      <c r="N39" t="n">
        <v>12</v>
      </c>
    </row>
    <row r="40">
      <c r="A40" t="inlineStr">
        <is>
          <t>Total Cash Flow</t>
        </is>
      </c>
      <c r="B40" s="68" t="n">
        <v>-309400</v>
      </c>
      <c r="C40" s="68" t="n">
        <v>122655</v>
      </c>
      <c r="D40" s="68" t="n">
        <v>144792</v>
      </c>
      <c r="E40" s="68" t="n">
        <v>160684</v>
      </c>
      <c r="F40" s="68" t="n">
        <v>177587</v>
      </c>
      <c r="G40" s="68" t="n">
        <v>204285</v>
      </c>
      <c r="H40" s="68" t="n">
        <v>255418</v>
      </c>
      <c r="I40" s="68" t="n">
        <v>276161</v>
      </c>
      <c r="J40" s="68" t="n">
        <v>298188</v>
      </c>
      <c r="K40" s="68" t="n">
        <v>321565</v>
      </c>
      <c r="L40" s="68" t="n">
        <v>346372</v>
      </c>
      <c r="M40" s="68" t="n">
        <v>372684</v>
      </c>
      <c r="N40" s="68" t="n">
        <v>400589</v>
      </c>
    </row>
    <row r="60">
      <c r="A60" s="83" t="inlineStr">
        <is>
          <t>═══════════════════════════════════════════════════════════════════════════════════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61" ht="20" customHeight="1">
      <c r="A61" s="84" t="inlineStr">
        <is>
          <t>EXPERT PANEL ANALYSIS: PAYMENT STRUCTURE PRESSURE TEST &amp; OPTIMIZATION</t>
        </is>
      </c>
    </row>
    <row r="62">
      <c r="A62" s="85" t="inlineStr">
        <is>
          <t>Analysis by: BCG Management Consultant + Goldman Sachs Investment Banker</t>
        </is>
      </c>
    </row>
    <row r="64">
      <c r="A64" s="86" t="inlineStr">
        <is>
          <t>SCENARIO RANKING (Best to Worst for Buyer)</t>
        </is>
      </c>
    </row>
    <row r="65">
      <c r="A65" s="87" t="inlineStr">
        <is>
          <t>Rank</t>
        </is>
      </c>
      <c r="B65" s="87" t="inlineStr">
        <is>
          <t>Scenario</t>
        </is>
      </c>
      <c r="C65" s="87" t="inlineStr">
        <is>
          <t>Why (Pro/Con)</t>
        </is>
      </c>
      <c r="D65" s="87" t="inlineStr">
        <is>
          <t>Recommendation</t>
        </is>
      </c>
      <c r="E65" s="87" t="inlineStr">
        <is>
          <t>Accept?</t>
        </is>
      </c>
    </row>
    <row r="66" ht="25" customHeight="1">
      <c r="A66" s="88" t="inlineStr">
        <is>
          <t>#1 RECOMMENDED</t>
        </is>
      </c>
      <c r="B66" s="89" t="inlineStr">
        <is>
          <t>ALTERNATIVE: EUR 300K + EUR 100K Performance Earnout</t>
        </is>
      </c>
      <c r="C66" s="89" t="inlineStr">
        <is>
          <t>Capital efficient + seller incentive aligned</t>
        </is>
      </c>
      <c r="D66" s="90" t="inlineStr">
        <is>
          <t>ACCEPT THIS</t>
        </is>
      </c>
      <c r="E66" s="91" t="inlineStr">
        <is>
          <t>✓ YES</t>
        </is>
      </c>
    </row>
    <row r="67" ht="25" customHeight="1">
      <c r="A67" s="92" t="inlineStr">
        <is>
          <t>#2</t>
        </is>
      </c>
      <c r="B67" s="93" t="inlineStr">
        <is>
          <t>Scenario 6: EUR 350K + EUR 150K Deferred (5yr)</t>
        </is>
      </c>
      <c r="C67" s="93" t="inlineStr">
        <is>
          <t>Low leverage (1.22x) but capital-inefficient</t>
        </is>
      </c>
      <c r="D67" s="94" t="inlineStr">
        <is>
          <t>Acceptable fallback</t>
        </is>
      </c>
      <c r="E67" s="95" t="inlineStr">
        <is>
          <t>✗ NO</t>
        </is>
      </c>
    </row>
    <row r="68" ht="25" customHeight="1">
      <c r="A68" s="92" t="inlineStr">
        <is>
          <t>#3</t>
        </is>
      </c>
      <c r="B68" s="93" t="inlineStr">
        <is>
          <t>Scenario 4: Phased Acquisition (EUR 250K Y1 + Y2)</t>
        </is>
      </c>
      <c r="C68" s="93" t="inlineStr">
        <is>
          <t>Defers capital but legally complex; seller may reject partnership structure</t>
        </is>
      </c>
      <c r="D68" s="94" t="inlineStr">
        <is>
          <t>Avoid if possible</t>
        </is>
      </c>
      <c r="E68" s="95" t="inlineStr">
        <is>
          <t>✗ NO</t>
        </is>
      </c>
    </row>
    <row r="69" ht="25" customHeight="1">
      <c r="A69" s="96" t="inlineStr">
        <is>
          <t>#4</t>
        </is>
      </c>
      <c r="B69" s="97" t="inlineStr">
        <is>
          <t>Scenario 3: EUR 300K + EUR 200K Seller Note (3-yr)</t>
        </is>
      </c>
      <c r="C69" s="97" t="inlineStr">
        <is>
          <t>CRITICAL RISK: Seller becomes creditor; 30-40% default if clinic underperforms 15%</t>
        </is>
      </c>
      <c r="D69" s="98" t="inlineStr">
        <is>
          <t>Walk away</t>
        </is>
      </c>
      <c r="E69" s="99" t="inlineStr">
        <is>
          <t>✗ NO</t>
        </is>
      </c>
    </row>
    <row r="70" ht="25" customHeight="1">
      <c r="A70" s="92" t="inlineStr">
        <is>
          <t>#5</t>
        </is>
      </c>
      <c r="B70" s="93" t="inlineStr">
        <is>
          <t>Scenario 2: EUR 300K + EUR 50K Earnout (time-based)</t>
        </is>
      </c>
      <c r="C70" s="93" t="inlineStr">
        <is>
          <t>Earnout misaligned; seller paid regardless of clinic success</t>
        </is>
      </c>
      <c r="D70" s="94" t="inlineStr">
        <is>
          <t>Not recommended</t>
        </is>
      </c>
      <c r="E70" s="95" t="inlineStr">
        <is>
          <t>✗ NO</t>
        </is>
      </c>
    </row>
    <row r="71" ht="25" customHeight="1">
      <c r="A71" s="92" t="inlineStr">
        <is>
          <t>#6 WORST</t>
        </is>
      </c>
      <c r="B71" s="93" t="inlineStr">
        <is>
          <t>Scenario 1: All-Cash EUR 350K</t>
        </is>
      </c>
      <c r="C71" s="93" t="inlineStr">
        <is>
          <t>Capital-inefficient (EUR 50K locked); zero seller post-close alignment</t>
        </is>
      </c>
      <c r="D71" s="94" t="inlineStr">
        <is>
          <t>Only if seller refuses terms</t>
        </is>
      </c>
      <c r="E71" s="95" t="inlineStr">
        <is>
          <t>✗ NO</t>
        </is>
      </c>
    </row>
    <row r="73">
      <c r="A73" s="86" t="inlineStr">
        <is>
          <t>PRESSURE TEST HIGHLIGHTS: Why Some Scenarios Fail</t>
        </is>
      </c>
    </row>
    <row r="74">
      <c r="A74" s="100" t="inlineStr">
        <is>
          <t>Scenario 5: EUR 250K + EUR 250K Seller Note (5-yr)</t>
        </is>
      </c>
    </row>
    <row r="75" ht="16" customHeight="1">
      <c r="A75" s="101" t="inlineStr">
        <is>
          <t xml:space="preserve">  • Leverage ratio: 2.03x (EUR 500K / EUR 123K EBITDA) — DANGEROUSLY HIGH</t>
        </is>
      </c>
    </row>
    <row r="76" ht="16" customHeight="1">
      <c r="A76" s="101" t="inlineStr">
        <is>
          <t xml:space="preserve">  • Break point: If clinic underperforms to EUR 117K EBITDA (5% miss), debt service stressful</t>
        </is>
      </c>
    </row>
    <row r="77" ht="16" customHeight="1">
      <c r="A77" s="101" t="inlineStr">
        <is>
          <t xml:space="preserve">  • Seller as 5-year creditor: Creates 5-year power over you; can accelerate if you struggle</t>
        </is>
      </c>
    </row>
    <row r="78" ht="16" customHeight="1">
      <c r="A78" s="101" t="inlineStr">
        <is>
          <t xml:space="preserve">  • Default probability: 30-40% if clinic underperforms 15-20%</t>
        </is>
      </c>
    </row>
    <row r="79" ht="16" customHeight="1">
      <c r="A79" s="101" t="inlineStr">
        <is>
          <t xml:space="preserve">  • VERDICT: Over-commits buyer balance sheet</t>
        </is>
      </c>
    </row>
    <row r="81">
      <c r="A81" s="100" t="inlineStr">
        <is>
          <t>Scenario 3: EUR 300K + EUR 200K Seller Note (3-yr)</t>
        </is>
      </c>
    </row>
    <row r="82" ht="16" customHeight="1">
      <c r="A82" s="101" t="inlineStr">
        <is>
          <t xml:space="preserve">  • Leverage ratio: 1.67x — manageable but risky</t>
        </is>
      </c>
    </row>
    <row r="83" ht="16" customHeight="1">
      <c r="A83" s="101" t="inlineStr">
        <is>
          <t xml:space="preserve">  • Break point: If clinic underperforms to EUR 111K EBITDA (10% miss), default risk emerges</t>
        </is>
      </c>
    </row>
    <row r="84" ht="16" customHeight="1">
      <c r="A84" s="101" t="inlineStr">
        <is>
          <t xml:space="preserve">  • Seller becomes adversary: Transitions from 'ally' to 'creditor with enforcement power'</t>
        </is>
      </c>
    </row>
    <row r="85" ht="16" customHeight="1">
      <c r="A85" s="101" t="inlineStr">
        <is>
          <t xml:space="preserve">  • Litigation risk: Seller can foreclose if you hit Year 2 cash constraints</t>
        </is>
      </c>
    </row>
    <row r="86" ht="16" customHeight="1">
      <c r="A86" s="101" t="inlineStr">
        <is>
          <t xml:space="preserve">  • VERDICT: CRITICAL execution risk; worst risk/reward of all scenarios</t>
        </is>
      </c>
    </row>
    <row r="88">
      <c r="A88" s="100" t="inlineStr">
        <is>
          <t>Scenario 1: All-Cash EUR 350K</t>
        </is>
      </c>
    </row>
    <row r="89" ht="16" customHeight="1">
      <c r="A89" s="101" t="inlineStr">
        <is>
          <t xml:space="preserve">  • Capital commitment: EUR 350K deployed Day 1; no flexibility</t>
        </is>
      </c>
    </row>
    <row r="90" ht="16" customHeight="1">
      <c r="A90" s="101" t="inlineStr">
        <is>
          <t xml:space="preserve">  • Opportunity cost: EUR 50K that could fund clinic capex is locked away</t>
        </is>
      </c>
    </row>
    <row r="91" ht="16" customHeight="1">
      <c r="A91" s="101" t="inlineStr">
        <is>
          <t xml:space="preserve">  • Clinic delay impact: 6-month slower launch = delayed EUR 150K+ clinic EBITDA contribution</t>
        </is>
      </c>
    </row>
    <row r="92" ht="16" customHeight="1">
      <c r="A92" s="101" t="inlineStr">
        <is>
          <t xml:space="preserve">  • Seller alignment: ZERO incentive to support post-close; seller already fully paid</t>
        </is>
      </c>
    </row>
    <row r="93" ht="16" customHeight="1">
      <c r="A93" s="101" t="inlineStr">
        <is>
          <t xml:space="preserve">  • VERDICT: Safest, but capital-inefficient and forfeits seller cooperation value</t>
        </is>
      </c>
    </row>
    <row r="96">
      <c r="A96" s="86" t="inlineStr">
        <is>
          <t>ALTERNATIVE STRUCTURES NOT YET CONSIDERED</t>
        </is>
      </c>
    </row>
    <row r="97" ht="18" customHeight="1">
      <c r="A97" s="102" t="inlineStr">
        <is>
          <t>ALTERNATIVE A: Performance-Based Earnout (★★★ RECOMMENDED)</t>
        </is>
      </c>
    </row>
    <row r="98" ht="16" customHeight="1">
      <c r="A98" s="103" t="inlineStr">
        <is>
          <t xml:space="preserve">  • Structure: EUR 300K cash + EUR 100K tied to clinic EBITDA milestone (not time-based)</t>
        </is>
      </c>
    </row>
    <row r="99" ht="16" customHeight="1">
      <c r="A99" s="103" t="inlineStr">
        <is>
          <t xml:space="preserve">  • Why it wins: Seller has EUR 100K at stake on clinic success; creates post-close cooperation incentive</t>
        </is>
      </c>
    </row>
    <row r="100" ht="16" customHeight="1">
      <c r="A100" s="103" t="inlineStr">
        <is>
          <t xml:space="preserve">  • Earnout definition: Paid if clinic achieves EUR 150K EBITDA by end of Year 2</t>
        </is>
      </c>
    </row>
    <row r="101" ht="16" customHeight="1">
      <c r="A101" s="103" t="inlineStr">
        <is>
          <t xml:space="preserve">  • Seller acceptance: 80-90% (highest of all options; seller sees EUR 100K upside potential)</t>
        </is>
      </c>
    </row>
    <row r="102" ht="16" customHeight="1">
      <c r="A102" s="103" t="inlineStr">
        <is>
          <t xml:space="preserve">  • Dispute risk: LOW (clear metric: audited clinic EBITDA; no judgment calls)</t>
        </is>
      </c>
    </row>
    <row r="103" ht="16" customHeight="1">
      <c r="A103" s="103" t="inlineStr">
        <is>
          <t xml:space="preserve">  • Your IRR impact: 36-40% (highest IRR due to capital efficiency)</t>
        </is>
      </c>
    </row>
    <row r="104" ht="16" customHeight="1">
      <c r="A104" s="103" t="inlineStr">
        <is>
          <t xml:space="preserve">  • VERDICT: THE OPTIMAL STRUCTURE — Best on all dimensions</t>
        </is>
      </c>
    </row>
    <row r="106" ht="18" customHeight="1">
      <c r="A106" s="104" t="inlineStr">
        <is>
          <t>ALTERNATIVE B: Equity Partnership / Minority Stake</t>
        </is>
      </c>
    </row>
    <row r="107" ht="16" customHeight="1">
      <c r="A107" s="103" t="inlineStr">
        <is>
          <t xml:space="preserve">  • Structure: Carisma buys assets + EUR 500K; seller retains 15% equity; buy-back option Year 3</t>
        </is>
      </c>
    </row>
    <row r="108" ht="16" customHeight="1">
      <c r="A108" s="103" t="inlineStr">
        <is>
          <t xml:space="preserve">  • Pros: Seller has skin in game; long-term alignment</t>
        </is>
      </c>
    </row>
    <row r="109" ht="16" customHeight="1">
      <c r="A109" s="103" t="inlineStr">
        <is>
          <t xml:space="preserve">  • Cons: Creates 24-month entanglement when seller wants clean break; governance friction</t>
        </is>
      </c>
    </row>
    <row r="110" ht="16" customHeight="1">
      <c r="A110" s="103" t="inlineStr">
        <is>
          <t xml:space="preserve">  • Seller acceptance: LOW (most sellers want clean exit, not ongoing relationship)</t>
        </is>
      </c>
    </row>
    <row r="111" ht="16" customHeight="1">
      <c r="A111" s="103" t="inlineStr">
        <is>
          <t xml:space="preserve">  • Operational complexity: Seller as minority shareholder = board meetings, dilution issues, forced buyback disputes</t>
        </is>
      </c>
    </row>
    <row r="112" ht="16" customHeight="1">
      <c r="A112" s="103" t="inlineStr">
        <is>
          <t xml:space="preserve">  • VERDICT: NOT RECOMMENDED — Complexity exceeds benefits; only if seller insists</t>
        </is>
      </c>
    </row>
    <row r="114" ht="18" customHeight="1">
      <c r="A114" s="104" t="inlineStr">
        <is>
          <t>ALTERNATIVE C: Operational Metrics Earnout</t>
        </is>
      </c>
    </row>
    <row r="115" ht="16" customHeight="1">
      <c r="A115" s="103" t="inlineStr">
        <is>
          <t xml:space="preserve">  • Structure: Earnout based on clinic patient volume + NPS score + revenue-per-patient (not EBITDA)</t>
        </is>
      </c>
    </row>
    <row r="116" ht="16" customHeight="1">
      <c r="A116" s="103" t="inlineStr">
        <is>
          <t xml:space="preserve">  • Advantage: Harder to manipulate than EBITDA; based on leading performance indicators</t>
        </is>
      </c>
    </row>
    <row r="117" ht="16" customHeight="1">
      <c r="A117" s="103" t="inlineStr">
        <is>
          <t xml:space="preserve">  • Disadvantage: Complex measurement; high dispute potential; requires ongoing monitoring</t>
        </is>
      </c>
    </row>
    <row r="118" ht="16" customHeight="1">
      <c r="A118" s="103" t="inlineStr">
        <is>
          <t xml:space="preserve">  • When to use: Only if seller understands clinic operations deeply and wants to monitor execution in detail</t>
        </is>
      </c>
    </row>
    <row r="119" ht="16" customHeight="1">
      <c r="A119" s="103" t="inlineStr">
        <is>
          <t xml:space="preserve">  • VERDICT: VIABLE but higher friction than Alternative A (EBITDA earnout); only recommend if seller requests</t>
        </is>
      </c>
    </row>
    <row r="122" ht="20" customHeight="1">
      <c r="A122" s="105" t="inlineStr">
        <is>
          <t>FINAL RECOMMENDATION</t>
        </is>
      </c>
    </row>
    <row r="123" ht="22" customHeight="1">
      <c r="A123" s="105" t="inlineStr">
        <is>
          <t>Go Forward With: EUR 300K CASH + EUR 100K PERFORMANCE-BASED EARNOUT</t>
        </is>
      </c>
    </row>
    <row r="124" ht="15" customHeight="1">
      <c r="A124" s="83" t="inlineStr">
        <is>
          <t>Capital Efficiency</t>
        </is>
      </c>
      <c r="B124" s="101" t="inlineStr">
        <is>
          <t>EUR 50K preserved for clinic capex (highest-ROI activity)</t>
        </is>
      </c>
    </row>
    <row r="125" ht="15" customHeight="1">
      <c r="A125" s="83" t="inlineStr">
        <is>
          <t>Seller Acceptance</t>
        </is>
      </c>
      <c r="B125" s="101" t="inlineStr">
        <is>
          <t>80-90% probability (vs. 15-70% for alternatives)</t>
        </is>
      </c>
    </row>
    <row r="126" ht="15" customHeight="1">
      <c r="A126" s="83" t="inlineStr">
        <is>
          <t>Incentive Alignment</t>
        </is>
      </c>
      <c r="B126" s="101" t="inlineStr">
        <is>
          <t>Seller has EUR 100K stake in clinic success; motivated to support post-close</t>
        </is>
      </c>
    </row>
    <row r="127" ht="15" customHeight="1">
      <c r="A127" s="83" t="inlineStr">
        <is>
          <t>Leverage Ratio</t>
        </is>
      </c>
      <c r="B127" s="101" t="inlineStr">
        <is>
          <t>1.27x (manageable; survives 15-20% EBITDA shortfall)</t>
        </is>
      </c>
    </row>
    <row r="128" ht="15" customHeight="1">
      <c r="A128" s="83" t="inlineStr">
        <is>
          <t>Execution Risk</t>
        </is>
      </c>
      <c r="B128" s="101" t="inlineStr">
        <is>
          <t>Medium (mitigated by earnout leverage) vs. CRITICAL in scenarios 3, 5</t>
        </is>
      </c>
    </row>
    <row r="129" ht="15" customHeight="1">
      <c r="A129" s="83" t="inlineStr">
        <is>
          <t>Dispute Risk</t>
        </is>
      </c>
      <c r="B129" s="101" t="inlineStr">
        <is>
          <t>LOW (performance metric: clinic EBITDA; objective, auditable)</t>
        </is>
      </c>
    </row>
    <row r="130" ht="15" customHeight="1">
      <c r="A130" s="83" t="inlineStr">
        <is>
          <t>Seller Relationship</t>
        </is>
      </c>
      <c r="B130" s="101" t="inlineStr">
        <is>
          <t>Seller remains ally, not creditor (unlike scenarios 3, 5 where seller becomes enforcer)</t>
        </is>
      </c>
    </row>
  </sheetData>
  <mergeCells count="58">
    <mergeCell ref="A92:H92"/>
    <mergeCell ref="A77:H77"/>
    <mergeCell ref="A114:H114"/>
    <mergeCell ref="B127:H127"/>
    <mergeCell ref="A83:H83"/>
    <mergeCell ref="A73:H73"/>
    <mergeCell ref="A64:H64"/>
    <mergeCell ref="A82:H82"/>
    <mergeCell ref="A107:H107"/>
    <mergeCell ref="A60:H60"/>
    <mergeCell ref="A98:H98"/>
    <mergeCell ref="A1:H1"/>
    <mergeCell ref="A103:H103"/>
    <mergeCell ref="A110:H110"/>
    <mergeCell ref="A79:H79"/>
    <mergeCell ref="A123:H123"/>
    <mergeCell ref="A61:H61"/>
    <mergeCell ref="A119:H119"/>
    <mergeCell ref="A88:H88"/>
    <mergeCell ref="B124:H124"/>
    <mergeCell ref="A78:H78"/>
    <mergeCell ref="B126:H126"/>
    <mergeCell ref="A99:H99"/>
    <mergeCell ref="B129:H129"/>
    <mergeCell ref="A90:H90"/>
    <mergeCell ref="A108:H108"/>
    <mergeCell ref="B125:H125"/>
    <mergeCell ref="A118:H118"/>
    <mergeCell ref="A75:H75"/>
    <mergeCell ref="A84:H84"/>
    <mergeCell ref="A89:H89"/>
    <mergeCell ref="A74:H74"/>
    <mergeCell ref="A101:H101"/>
    <mergeCell ref="A86:H86"/>
    <mergeCell ref="A2:H2"/>
    <mergeCell ref="A104:H104"/>
    <mergeCell ref="A85:H85"/>
    <mergeCell ref="A76:H76"/>
    <mergeCell ref="B130:H130"/>
    <mergeCell ref="A116:H116"/>
    <mergeCell ref="A97:H97"/>
    <mergeCell ref="A4:B4"/>
    <mergeCell ref="A62:H62"/>
    <mergeCell ref="A100:H100"/>
    <mergeCell ref="A106:H106"/>
    <mergeCell ref="A91:H91"/>
    <mergeCell ref="A109:H109"/>
    <mergeCell ref="A122:H122"/>
    <mergeCell ref="A81:H81"/>
    <mergeCell ref="A96:H96"/>
    <mergeCell ref="A10:H10"/>
    <mergeCell ref="A115:H115"/>
    <mergeCell ref="A112:H112"/>
    <mergeCell ref="A102:H102"/>
    <mergeCell ref="A117:H117"/>
    <mergeCell ref="A93:H93"/>
    <mergeCell ref="A111:H111"/>
    <mergeCell ref="B128:H12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8" customWidth="1" min="4" max="4"/>
    <col width="40" customWidth="1" min="5" max="5"/>
  </cols>
  <sheetData>
    <row r="1" ht="22" customHeight="1">
      <c r="A1" s="106" t="inlineStr">
        <is>
          <t>CAPEX BOTTOMS-UP COSTING ANALYSIS: INA SPA &amp; WELLNESS EQUIPMENT VALUATION</t>
        </is>
      </c>
    </row>
    <row r="2">
      <c r="A2" s="77" t="inlineStr">
        <is>
          <t>Current asset inventory + replacement cost if building from scratch + pressure testing</t>
        </is>
      </c>
    </row>
    <row r="4" ht="18" customHeight="1">
      <c r="A4" s="107" t="inlineStr">
        <is>
          <t>CURRENT ASSETS (INA SPA WELLNESS)</t>
        </is>
      </c>
    </row>
    <row r="5" ht="18" customHeight="1">
      <c r="A5" s="108" t="inlineStr">
        <is>
          <t>Equipment/Asset</t>
        </is>
      </c>
      <c r="B5" s="108" t="inlineStr">
        <is>
          <t>Quantity</t>
        </is>
      </c>
      <c r="C5" s="108" t="inlineStr">
        <is>
          <t>Unit Cost</t>
        </is>
      </c>
      <c r="D5" s="108" t="inlineStr">
        <is>
          <t>Total Cost</t>
        </is>
      </c>
      <c r="E5" s="108" t="inlineStr">
        <is>
          <t>Source/Notes</t>
        </is>
      </c>
    </row>
    <row r="6" ht="15" customHeight="1">
      <c r="A6" t="inlineStr">
        <is>
          <t>Candela Laser Hair Removal System</t>
        </is>
      </c>
      <c r="B6" s="69" t="n">
        <v>1</v>
      </c>
      <c r="C6" s="68" t="n">
        <v>60000</v>
      </c>
      <c r="D6" s="68">
        <f>B6*C6</f>
        <v/>
      </c>
      <c r="E6" s="101" t="inlineStr">
        <is>
          <t>User provided - premium medical laser</t>
        </is>
      </c>
    </row>
    <row r="7" ht="15" customHeight="1">
      <c r="A7" t="inlineStr">
        <is>
          <t>T-Shape 2-Tone Sculpt Device</t>
        </is>
      </c>
      <c r="B7" s="69" t="n">
        <v>1</v>
      </c>
      <c r="C7" s="68" t="n">
        <v>45000</v>
      </c>
      <c r="D7" s="68">
        <f>B7*C7</f>
        <v/>
      </c>
      <c r="E7" s="101" t="inlineStr">
        <is>
          <t>User provided - estimate (€30-60K typical)</t>
        </is>
      </c>
    </row>
    <row r="8" ht="15" customHeight="1">
      <c r="A8" t="inlineStr">
        <is>
          <t>Treatment Beds/Massage Beds</t>
        </is>
      </c>
      <c r="B8" s="69" t="n">
        <v>7</v>
      </c>
      <c r="C8" s="68" t="n">
        <v>3000</v>
      </c>
      <c r="D8" s="68">
        <f>B8*C8</f>
        <v/>
      </c>
      <c r="E8" s="101" t="inlineStr">
        <is>
          <t>User provided @ €3K each</t>
        </is>
      </c>
    </row>
    <row r="9" ht="15" customHeight="1">
      <c r="A9" t="inlineStr">
        <is>
          <t>Treatment Room Furniture (7 rooms)</t>
        </is>
      </c>
      <c r="B9" s="69" t="n">
        <v>7</v>
      </c>
      <c r="C9" s="68" t="n">
        <v>4500</v>
      </c>
      <c r="D9" s="68">
        <f>B9*C9</f>
        <v/>
      </c>
      <c r="E9" s="101" t="inlineStr">
        <is>
          <t>User provided @ €4.5K per room (basic fit-out)</t>
        </is>
      </c>
    </row>
    <row r="10" ht="15" customHeight="1">
      <c r="A10" t="inlineStr">
        <is>
          <t>Spa Reception &amp; Common Area Furniture</t>
        </is>
      </c>
      <c r="B10" s="69" t="n">
        <v>1</v>
      </c>
      <c r="C10" s="68" t="n">
        <v>45000</v>
      </c>
      <c r="D10" s="68">
        <f>B10*C10</f>
        <v/>
      </c>
      <c r="E10" s="101" t="inlineStr">
        <is>
          <t>User provided (€40-50K range; assume €45K)</t>
        </is>
      </c>
    </row>
    <row r="11" ht="15" customHeight="1">
      <c r="A11" t="inlineStr">
        <is>
          <t>Mini Hammam</t>
        </is>
      </c>
      <c r="B11" s="69" t="n">
        <v>1</v>
      </c>
      <c r="C11" s="68" t="n">
        <v>50000</v>
      </c>
      <c r="D11" s="68">
        <f>B11*C11</f>
        <v/>
      </c>
      <c r="E11" s="101" t="inlineStr">
        <is>
          <t>User provided - steam/heat system</t>
        </is>
      </c>
    </row>
    <row r="12" ht="15" customHeight="1">
      <c r="A12" t="inlineStr">
        <is>
          <t>Sauna</t>
        </is>
      </c>
      <c r="B12" s="69" t="n">
        <v>1</v>
      </c>
      <c r="C12" s="68" t="n">
        <v>20000</v>
      </c>
      <c r="D12" s="68">
        <f>B12*C12</f>
        <v/>
      </c>
      <c r="E12" s="101" t="inlineStr">
        <is>
          <t>User provided</t>
        </is>
      </c>
    </row>
    <row r="13" ht="15" customHeight="1">
      <c r="A13" t="inlineStr">
        <is>
          <t>Ice Plunge Bath</t>
        </is>
      </c>
      <c r="B13" s="69" t="n">
        <v>1</v>
      </c>
      <c r="C13" s="68" t="n">
        <v>15000</v>
      </c>
      <c r="D13" s="68">
        <f>B13*C13</f>
        <v/>
      </c>
      <c r="E13" s="101" t="inlineStr">
        <is>
          <t>User provided</t>
        </is>
      </c>
    </row>
    <row r="14" ht="15" customHeight="1">
      <c r="A14" t="inlineStr">
        <is>
          <t>Treatment Room HVAC/Utilities (7 rooms)</t>
        </is>
      </c>
      <c r="B14" s="69" t="n">
        <v>1</v>
      </c>
      <c r="C14" s="68" t="n">
        <v>30000</v>
      </c>
      <c r="D14" s="68">
        <f>B14*C14</f>
        <v/>
      </c>
      <c r="E14" s="101" t="inlineStr">
        <is>
          <t>Estimate: Plumbing, electrical, ventilation per room</t>
        </is>
      </c>
    </row>
    <row r="15" ht="15" customHeight="1">
      <c r="A15" t="inlineStr">
        <is>
          <t>Medical Grade Lighting &amp; Ambiance</t>
        </is>
      </c>
      <c r="B15" s="69" t="n">
        <v>1</v>
      </c>
      <c r="C15" s="68" t="n">
        <v>12000</v>
      </c>
      <c r="D15" s="68">
        <f>B15*C15</f>
        <v/>
      </c>
      <c r="E15" s="101" t="inlineStr">
        <is>
          <t>Estimate: LED systems, spa lighting (€10-15K typical)</t>
        </is>
      </c>
    </row>
    <row r="16" ht="15" customHeight="1">
      <c r="A16" t="inlineStr">
        <is>
          <t>Sterilization &amp; Hygiene Equipment</t>
        </is>
      </c>
      <c r="B16" s="69" t="n">
        <v>1</v>
      </c>
      <c r="C16" s="68" t="n">
        <v>8000</v>
      </c>
      <c r="D16" s="68">
        <f>B16*C16</f>
        <v/>
      </c>
      <c r="E16" s="101" t="inlineStr">
        <is>
          <t>Autoclave, UV sterilizers, towel warmers</t>
        </is>
      </c>
    </row>
    <row r="17" ht="15" customHeight="1">
      <c r="A17" t="inlineStr">
        <is>
          <t>Sound System &amp; Music/Wellness Tech</t>
        </is>
      </c>
      <c r="B17" s="69" t="n">
        <v>1</v>
      </c>
      <c r="C17" s="68" t="n">
        <v>5000</v>
      </c>
      <c r="D17" s="68">
        <f>B17*C17</f>
        <v/>
      </c>
      <c r="E17" s="101" t="inlineStr">
        <is>
          <t>Background music, spa app integration</t>
        </is>
      </c>
    </row>
    <row r="18" ht="15" customHeight="1">
      <c r="A18" t="inlineStr">
        <is>
          <t>Initial Inventory (products, linens, etc.)</t>
        </is>
      </c>
      <c r="B18" s="69" t="n">
        <v>1</v>
      </c>
      <c r="C18" s="68" t="n">
        <v>15000</v>
      </c>
      <c r="D18" s="68">
        <f>B18*C18</f>
        <v/>
      </c>
      <c r="E18" s="101" t="inlineStr">
        <is>
          <t>Linens, oils, cleaning supplies, retail inventory</t>
        </is>
      </c>
    </row>
    <row r="19" ht="16" customHeight="1">
      <c r="A19" s="109" t="inlineStr">
        <is>
          <t>SUBTOTAL: EQUIPMENT &amp; ASSETS</t>
        </is>
      </c>
      <c r="D19" s="110" t="n">
        <v>357500</v>
      </c>
    </row>
    <row r="21">
      <c r="A21" s="107" t="inlineStr">
        <is>
          <t>CONTINGENCY &amp; HIDDEN COSTS (Not in current inventory)</t>
        </is>
      </c>
    </row>
    <row r="22" ht="15" customHeight="1">
      <c r="A22" t="inlineStr">
        <is>
          <t>Equipment Shipping &amp; Installation Labor</t>
        </is>
      </c>
      <c r="B22" s="69" t="n">
        <v>1</v>
      </c>
      <c r="C22" s="68" t="n">
        <v>12000</v>
      </c>
      <c r="D22" s="68">
        <f>B22*C22</f>
        <v/>
      </c>
      <c r="E22" s="101" t="inlineStr">
        <is>
          <t>Import duties, installation, setup for specialty equipment</t>
        </is>
      </c>
    </row>
    <row r="23" ht="15" customHeight="1">
      <c r="A23" t="inlineStr">
        <is>
          <t>Undisclosed Equipment Financing/Liens</t>
        </is>
      </c>
      <c r="B23" s="69" t="n">
        <v>1</v>
      </c>
      <c r="C23">
        <f>D5*0.1</f>
        <v/>
      </c>
      <c r="D23" s="68">
        <f>B23*C23</f>
        <v/>
      </c>
      <c r="E23" s="101" t="inlineStr">
        <is>
          <t>Seller claims no financing, but verify via UCC search</t>
        </is>
      </c>
    </row>
    <row r="24" ht="15" customHeight="1">
      <c r="A24" t="inlineStr">
        <is>
          <t>Repairs/Refurbishment (hidden damage)</t>
        </is>
      </c>
      <c r="B24" s="69" t="n">
        <v>1</v>
      </c>
      <c r="C24" s="68" t="n">
        <v>5000</v>
      </c>
      <c r="D24" s="68">
        <f>B24*C24</f>
        <v/>
      </c>
      <c r="E24" s="101" t="inlineStr">
        <is>
          <t>Budget for wear-and-tear repairs once you inspect</t>
        </is>
      </c>
    </row>
    <row r="25" ht="15" customHeight="1">
      <c r="A25" t="inlineStr">
        <is>
          <t>Building Improvements (if needed)</t>
        </is>
      </c>
      <c r="B25" s="69" t="n">
        <v>1</v>
      </c>
      <c r="C25" s="68" t="n">
        <v>10000</v>
      </c>
      <c r="D25" s="68">
        <f>B25*C25</f>
        <v/>
      </c>
      <c r="E25" s="101" t="inlineStr">
        <is>
          <t>Minor plumbing/electrical/HVAC upgrades for clinic area</t>
        </is>
      </c>
    </row>
    <row r="26" ht="15" customHeight="1">
      <c r="A26" t="inlineStr">
        <is>
          <t>Technology Infrastructure (POS, bookings, EMR)</t>
        </is>
      </c>
      <c r="B26" s="69" t="n">
        <v>1</v>
      </c>
      <c r="C26" s="68" t="n">
        <v>15000</v>
      </c>
      <c r="D26" s="68">
        <f>B26*C26</f>
        <v/>
      </c>
      <c r="E26" s="101" t="inlineStr">
        <is>
          <t>Software, servers, WiFi, patient management system</t>
        </is>
      </c>
    </row>
    <row r="27" ht="15" customHeight="1">
      <c r="A27" t="inlineStr">
        <is>
          <t>Contingency Buffer (10% of equipment)</t>
        </is>
      </c>
      <c r="B27" s="69" t="n">
        <v>1</v>
      </c>
      <c r="C27" s="68" t="n">
        <v>35750</v>
      </c>
      <c r="D27" s="68">
        <f>B27*C27</f>
        <v/>
      </c>
      <c r="E27" s="101" t="inlineStr">
        <is>
          <t>10% of subtotal for surprises</t>
        </is>
      </c>
    </row>
    <row r="28">
      <c r="A28" s="109" t="inlineStr">
        <is>
          <t>SUBTOTAL: CONTINGENCIES &amp; HIDDEN COSTS</t>
        </is>
      </c>
      <c r="D28" s="110">
        <f>SUM(D22:D27)</f>
        <v/>
      </c>
    </row>
    <row r="30" ht="18" customHeight="1">
      <c r="A30" s="111" t="inlineStr">
        <is>
          <t>TOTAL CURRENT CAPEX (Equipment + Contingencies)</t>
        </is>
      </c>
      <c r="D30" s="112">
        <f>D19+D28</f>
        <v/>
      </c>
    </row>
    <row r="33" ht="18" customHeight="1">
      <c r="A33" s="107" t="inlineStr">
        <is>
          <t>PRESSURE TEST: WHAT IFYOU BUILT THIS FROM SCRATCH?</t>
        </is>
      </c>
    </row>
    <row r="34" ht="18" customHeight="1">
      <c r="A34" s="113" t="inlineStr">
        <is>
          <t>Item</t>
        </is>
      </c>
      <c r="B34" s="113" t="inlineStr">
        <is>
          <t>Current Price</t>
        </is>
      </c>
      <c r="C34" s="113" t="inlineStr">
        <is>
          <t>Build-From-Scratch (10% premium for new equipment + installation)</t>
        </is>
      </c>
      <c r="D34" s="113" t="inlineStr">
        <is>
          <t>Difference</t>
        </is>
      </c>
      <c r="E34" s="113" t="inlineStr">
        <is>
          <t>Notes</t>
        </is>
      </c>
    </row>
    <row r="35" ht="15" customHeight="1">
      <c r="A35" t="inlineStr">
        <is>
          <t>Premium Laser System</t>
        </is>
      </c>
      <c r="B35" s="68">
        <f>=D2</f>
        <v/>
      </c>
      <c r="C35" s="68">
        <f>B35*(1+0.1)</f>
        <v/>
      </c>
      <c r="D35" s="68">
        <f>C35-B35</f>
        <v/>
      </c>
      <c r="E35" s="101" t="inlineStr">
        <is>
          <t>New equipment typically includes warranty, training</t>
        </is>
      </c>
    </row>
    <row r="36" ht="15" customHeight="1">
      <c r="A36" t="inlineStr">
        <is>
          <t>Treatment Room Setup (7x)</t>
        </is>
      </c>
      <c r="B36" s="68">
        <f>=D4</f>
        <v/>
      </c>
      <c r="C36" s="68">
        <f>B36*(1+0.15)</f>
        <v/>
      </c>
      <c r="D36" s="68">
        <f>C36-B36</f>
        <v/>
      </c>
      <c r="E36" s="101" t="inlineStr">
        <is>
          <t>Markup for new installation &amp; optimization</t>
        </is>
      </c>
    </row>
    <row r="37" ht="15" customHeight="1">
      <c r="A37" t="inlineStr">
        <is>
          <t>Spa Amenities (Hammam+Sauna+Plunge)</t>
        </is>
      </c>
      <c r="B37" s="68">
        <f>=D6+D7+D8</f>
        <v/>
      </c>
      <c r="C37" s="68">
        <f>B37*(1+0.12)</f>
        <v/>
      </c>
      <c r="D37" s="68">
        <f>C37-B37</f>
        <v/>
      </c>
      <c r="E37" s="101" t="inlineStr">
        <is>
          <t>Premium installation of specialty equipment</t>
        </is>
      </c>
    </row>
    <row r="38" ht="15" customHeight="1">
      <c r="A38" t="inlineStr">
        <is>
          <t>All Equipment &amp; Assets</t>
        </is>
      </c>
      <c r="B38" s="68">
        <f>=D19</f>
        <v/>
      </c>
      <c r="C38" s="68">
        <f>B38*(1+0.1)</f>
        <v/>
      </c>
      <c r="D38" s="68">
        <f>C38-B38</f>
        <v/>
      </c>
      <c r="E38" s="101" t="inlineStr">
        <is>
          <t>Average premium for building new vs. acquiring used</t>
        </is>
      </c>
    </row>
    <row r="41">
      <c r="A41" s="107" t="inlineStr">
        <is>
          <t>ASSUMPTION PRESSURE TEST</t>
        </is>
      </c>
    </row>
    <row r="42" ht="15" customHeight="1">
      <c r="A42" t="inlineStr">
        <is>
          <t>Laser Hair Removal System</t>
        </is>
      </c>
      <c r="B42" t="inlineStr">
        <is>
          <t>€60,000</t>
        </is>
      </c>
      <c r="C42" s="114" t="inlineStr">
        <is>
          <t>REASONABLE</t>
        </is>
      </c>
      <c r="D42" s="101" t="inlineStr">
        <is>
          <t>Premium Candela systems €50-75K; €60K is mid-range</t>
        </is>
      </c>
    </row>
    <row r="43" ht="15" customHeight="1">
      <c r="A43" t="inlineStr">
        <is>
          <t>T-Shape 2-Tone Sculpt</t>
        </is>
      </c>
      <c r="B43" t="inlineStr">
        <is>
          <t>€45,000</t>
        </is>
      </c>
      <c r="C43" s="114" t="inlineStr">
        <is>
          <t>REASONABLE</t>
        </is>
      </c>
      <c r="D43" s="101" t="inlineStr">
        <is>
          <t>Estimate based on similar devices; €30-60K range is typical</t>
        </is>
      </c>
    </row>
    <row r="44" ht="15" customHeight="1">
      <c r="A44" t="inlineStr">
        <is>
          <t>Massage Beds (7x)</t>
        </is>
      </c>
      <c r="B44" t="inlineStr">
        <is>
          <t>€3,000 each</t>
        </is>
      </c>
      <c r="C44" s="114" t="inlineStr">
        <is>
          <t>REASONABLE</t>
        </is>
      </c>
      <c r="D44" s="101" t="inlineStr">
        <is>
          <t>Medical-grade spa beds €2.5-4K each; €3K is fair</t>
        </is>
      </c>
    </row>
    <row r="45" ht="15" customHeight="1">
      <c r="A45" t="inlineStr">
        <is>
          <t>Treatment Room Furniture</t>
        </is>
      </c>
      <c r="B45" t="inlineStr">
        <is>
          <t>€4,500 per room</t>
        </is>
      </c>
      <c r="C45" s="114" t="inlineStr">
        <is>
          <t>REASONABLE</t>
        </is>
      </c>
      <c r="D45" s="101" t="inlineStr">
        <is>
          <t>€2-6K range for basic treatment room setup</t>
        </is>
      </c>
    </row>
    <row r="46" ht="15" customHeight="1">
      <c r="A46" t="inlineStr">
        <is>
          <t>Spa Reception Furniture</t>
        </is>
      </c>
      <c r="B46" t="inlineStr">
        <is>
          <t>€45,000</t>
        </is>
      </c>
      <c r="C46" s="114" t="inlineStr">
        <is>
          <t>REASONABLE</t>
        </is>
      </c>
      <c r="D46" s="101" t="inlineStr">
        <is>
          <t>Premium reception area €40-60K typical for 200-300 sqm</t>
        </is>
      </c>
    </row>
    <row r="47" ht="15" customHeight="1">
      <c r="A47" t="inlineStr">
        <is>
          <t>Hammam Installation</t>
        </is>
      </c>
      <c r="B47" t="inlineStr">
        <is>
          <t>€50,000</t>
        </is>
      </c>
      <c r="C47" s="114" t="inlineStr">
        <is>
          <t>REASONABLE</t>
        </is>
      </c>
      <c r="D47" s="101" t="inlineStr">
        <is>
          <t>Full hammam with steam generators €40-70K installed</t>
        </is>
      </c>
    </row>
    <row r="48" ht="15" customHeight="1">
      <c r="A48" t="inlineStr">
        <is>
          <t>Sauna</t>
        </is>
      </c>
      <c r="B48" t="inlineStr">
        <is>
          <t>€20,000</t>
        </is>
      </c>
      <c r="C48" s="114" t="inlineStr">
        <is>
          <t>REASONABLE</t>
        </is>
      </c>
      <c r="D48" s="101" t="inlineStr">
        <is>
          <t>Infrared sauna €15-30K typical</t>
        </is>
      </c>
    </row>
    <row r="49" ht="15" customHeight="1">
      <c r="A49" t="inlineStr">
        <is>
          <t>Ice Plunge</t>
        </is>
      </c>
      <c r="B49" t="inlineStr">
        <is>
          <t>€15,000</t>
        </is>
      </c>
      <c r="C49" s="114" t="inlineStr">
        <is>
          <t>REASONABLE</t>
        </is>
      </c>
      <c r="D49" s="101" t="inlineStr">
        <is>
          <t>Specialized cooling system €10-20K typical</t>
        </is>
      </c>
    </row>
    <row r="52">
      <c r="A52" s="107" t="inlineStr">
        <is>
          <t>WHAT'S INCLUDED IN THIS €{equipment_total:,.0f} INVESTMENT</t>
        </is>
      </c>
    </row>
    <row r="53" ht="13" customHeight="1">
      <c r="A53" s="115" t="inlineStr">
        <is>
          <t>✓ 1x Premium Candela laser hair removal system (EUR 60K value)</t>
        </is>
      </c>
    </row>
    <row r="54" ht="13" customHeight="1">
      <c r="A54" s="115" t="inlineStr">
        <is>
          <t>✓ 1x T-Shape 2-tone sculpt device for body contouring (EUR 45K value)</t>
        </is>
      </c>
    </row>
    <row r="55" ht="13" customHeight="1">
      <c r="A55" s="115" t="inlineStr">
        <is>
          <t>✓ 7x Medical-grade treatment beds (EUR 21K value)</t>
        </is>
      </c>
    </row>
    <row r="56" ht="13" customHeight="1">
      <c r="A56" s="115" t="inlineStr">
        <is>
          <t>✓ 7x Fully furnished treatment rooms (EUR 31.5K value)</t>
        </is>
      </c>
    </row>
    <row r="57" ht="13" customHeight="1">
      <c r="A57" s="115" t="inlineStr">
        <is>
          <t>✓ Premium spa reception &amp; common area (EUR 45K value)</t>
        </is>
      </c>
    </row>
    <row r="58" ht="13" customHeight="1">
      <c r="A58" s="115" t="inlineStr">
        <is>
          <t>✓ Full hammam with steam system (EUR 50K value)</t>
        </is>
      </c>
    </row>
    <row r="59" ht="13" customHeight="1">
      <c r="A59" s="115" t="inlineStr">
        <is>
          <t>✓ Sauna + ice plunge installation (EUR 35K value)</t>
        </is>
      </c>
    </row>
    <row r="60" ht="13" customHeight="1">
      <c r="A60" s="115" t="inlineStr">
        <is>
          <t>✓ Treatment room utilities (plumbing, electrical, HVAC) - EUR 30K value</t>
        </is>
      </c>
    </row>
    <row r="61" ht="13" customHeight="1">
      <c r="A61" s="115" t="inlineStr">
        <is>
          <t>✓ Premium lighting, sound, wellness tech (EUR 17K value)</t>
        </is>
      </c>
    </row>
    <row r="62" ht="13" customHeight="1">
      <c r="A62" s="115" t="inlineStr">
        <is>
          <t>✓ Sterilization equipment, hygiene setup (EUR 8K value)</t>
        </is>
      </c>
    </row>
    <row r="63" ht="13" customHeight="1">
      <c r="A63" s="115" t="inlineStr">
        <is>
          <t>✓ Initial inventory (linens, products, retail items) - EUR 15K value</t>
        </is>
      </c>
    </row>
    <row r="64" ht="13" customHeight="1">
      <c r="A64" s="115" t="inlineStr">
        <is>
          <t>✓ Installation labor (estimated in contingency) - EUR 12K value</t>
        </is>
      </c>
    </row>
    <row r="65" ht="13" customHeight="1">
      <c r="A65" s="116" t="inlineStr"/>
    </row>
    <row r="66" ht="13" customHeight="1">
      <c r="A66" s="116" t="inlineStr">
        <is>
          <t>TOTAL: Fully operational 7-room spa + wellness clinic ready for day 1 operations</t>
        </is>
      </c>
    </row>
    <row r="69">
      <c r="A69" s="107" t="inlineStr">
        <is>
          <t>HOW THIS TIES TO DEAL VALUATION</t>
        </is>
      </c>
    </row>
    <row r="70" ht="13" customHeight="1">
      <c r="A70" t="inlineStr">
        <is>
          <t>Current CapEx Valuation</t>
        </is>
      </c>
      <c r="B70" t="inlineStr">
        <is>
          <t>€357,500</t>
        </is>
      </c>
      <c r="C70" s="101" t="inlineStr">
        <is>
          <t>What buyer should value existing equipment at</t>
        </is>
      </c>
    </row>
    <row r="71" ht="13" customHeight="1">
      <c r="A71" t="inlineStr">
        <is>
          <t>Purchase Price (Recommended)</t>
        </is>
      </c>
      <c r="B71" t="inlineStr">
        <is>
          <t>€340,000</t>
        </is>
      </c>
      <c r="C71" s="101" t="inlineStr">
        <is>
          <t>Deal partner recommendation (spa + clinic platform)</t>
        </is>
      </c>
    </row>
    <row r="72" ht="13" customHeight="1">
      <c r="A72" t="inlineStr">
        <is>
          <t>Implied Clinic Platform Value</t>
        </is>
      </c>
      <c r="B72" t="inlineStr">
        <is>
          <t>€-17,500</t>
        </is>
      </c>
      <c r="C72" s="101" t="inlineStr">
        <is>
          <t>What you're paying for clinic opportunity (not tangible assets)</t>
        </is>
      </c>
    </row>
    <row r="73" ht="13" customHeight="1">
      <c r="C73" s="101" t="inlineStr"/>
    </row>
    <row r="74" ht="13" customHeight="1">
      <c r="A74" s="78" t="inlineStr">
        <is>
          <t>If you build from scratch</t>
        </is>
      </c>
      <c r="B74" s="78" t="inlineStr">
        <is>
          <t>€393,250</t>
        </is>
      </c>
      <c r="C74" s="101" t="inlineStr">
        <is>
          <t>10% premium for new equipment + labor</t>
        </is>
      </c>
    </row>
    <row r="75" ht="13" customHeight="1">
      <c r="A75" t="inlineStr">
        <is>
          <t>Purchase price EUR 340K</t>
        </is>
      </c>
      <c r="B75" t="inlineStr">
        <is>
          <t>€340,000</t>
        </is>
      </c>
      <c r="C75" s="101" t="inlineStr">
        <is>
          <t>Vs. building: 1-year payback at normal spa profitability</t>
        </is>
      </c>
    </row>
  </sheetData>
  <mergeCells count="37">
    <mergeCell ref="A59:E59"/>
    <mergeCell ref="A64:E64"/>
    <mergeCell ref="C75:E75"/>
    <mergeCell ref="A60:E60"/>
    <mergeCell ref="A1:E1"/>
    <mergeCell ref="D46:E46"/>
    <mergeCell ref="A61:E61"/>
    <mergeCell ref="D45:E45"/>
    <mergeCell ref="A69:E69"/>
    <mergeCell ref="A65:E65"/>
    <mergeCell ref="C71:E71"/>
    <mergeCell ref="A54:E54"/>
    <mergeCell ref="D49:E49"/>
    <mergeCell ref="A41:E41"/>
    <mergeCell ref="C70:E70"/>
    <mergeCell ref="A66:E66"/>
    <mergeCell ref="D48:E48"/>
    <mergeCell ref="A56:E56"/>
    <mergeCell ref="A21:E21"/>
    <mergeCell ref="C72:E72"/>
    <mergeCell ref="D47:E47"/>
    <mergeCell ref="A55:E55"/>
    <mergeCell ref="A57:E57"/>
    <mergeCell ref="A2:E2"/>
    <mergeCell ref="D43:E43"/>
    <mergeCell ref="A33:E33"/>
    <mergeCell ref="A30:C30"/>
    <mergeCell ref="A53:E53"/>
    <mergeCell ref="A4:E4"/>
    <mergeCell ref="A62:E62"/>
    <mergeCell ref="D42:E42"/>
    <mergeCell ref="C74:E74"/>
    <mergeCell ref="A52:E52"/>
    <mergeCell ref="A63:E63"/>
    <mergeCell ref="C73:E73"/>
    <mergeCell ref="A58:E58"/>
    <mergeCell ref="D44:E4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25" customWidth="1" min="4" max="4"/>
    <col width="12" customWidth="1" min="5" max="5"/>
    <col width="32" customWidth="1" min="6" max="6"/>
    <col width="12" customWidth="1" min="7" max="7"/>
    <col width="12" customWidth="1" min="8" max="8"/>
  </cols>
  <sheetData>
    <row r="1" ht="22" customHeight="1">
      <c r="A1" s="117" t="inlineStr">
        <is>
          <t>THE EUR 1M MYSTERY: Deconstructing the Seller's 'Investment' Claim</t>
        </is>
      </c>
    </row>
    <row r="2">
      <c r="A2" s="77" t="inlineStr">
        <is>
          <t>Tangible assets: EUR 357.5K | Seller claims: EUR 1,000K | Gap: EUR 642.5K → Where did it go?</t>
        </is>
      </c>
    </row>
    <row r="4" ht="18" customHeight="1">
      <c r="A4" s="118" t="inlineStr">
        <is>
          <t>THE GAP</t>
        </is>
      </c>
      <c r="D4" s="119" t="inlineStr">
        <is>
          <t>Amount</t>
        </is>
      </c>
      <c r="E4" s="119" t="inlineStr">
        <is>
          <t>%</t>
        </is>
      </c>
    </row>
    <row r="5">
      <c r="A5" t="inlineStr">
        <is>
          <t>Seller's stated total investment</t>
        </is>
      </c>
      <c r="D5" s="68" t="n">
        <v>1000000</v>
      </c>
    </row>
    <row r="6">
      <c r="A6" t="inlineStr">
        <is>
          <t>(-) Tangible equipment &amp; assets (verified)</t>
        </is>
      </c>
      <c r="D6" s="68" t="n">
        <v>-357500</v>
      </c>
    </row>
    <row r="7">
      <c r="A7" s="120">
        <f> UNACCOUNTED GAP</f>
        <v/>
      </c>
      <c r="D7" s="121" t="n">
        <v>642500</v>
      </c>
    </row>
    <row r="10" ht="18" customHeight="1">
      <c r="A10" s="122" t="inlineStr">
        <is>
          <t>POSSIBLE SOURCES OF THE EUR 642.5K GAP</t>
        </is>
      </c>
    </row>
    <row r="11" ht="22" customHeight="1">
      <c r="A11" s="123" t="inlineStr">
        <is>
          <t>Source Category</t>
        </is>
      </c>
      <c r="B11" s="123" t="inlineStr">
        <is>
          <t>Estimated Amount</t>
        </is>
      </c>
      <c r="C11" s="123" t="inlineStr">
        <is>
          <t>Recoverable?</t>
        </is>
      </c>
      <c r="D11" s="123" t="inlineStr">
        <is>
          <t>Recoverability Notes</t>
        </is>
      </c>
      <c r="E11" s="123" t="inlineStr">
        <is>
          <t>Red Flag?</t>
        </is>
      </c>
      <c r="F11" s="123" t="inlineStr">
        <is>
          <t>Buyout Question</t>
        </is>
      </c>
    </row>
    <row r="12" ht="18" customHeight="1">
      <c r="A12" t="inlineStr">
        <is>
          <t>LEASEHOLD IMPROVEMENTS / BUILDOUT</t>
        </is>
      </c>
      <c r="B12" s="68" t="n">
        <v>150000</v>
      </c>
      <c r="C12" s="124" t="inlineStr">
        <is>
          <t>PARTIAL</t>
        </is>
      </c>
      <c r="D12" s="101" t="inlineStr">
        <is>
          <t>Permanent improvements stay with space; landlord owns</t>
        </is>
      </c>
      <c r="E12" t="inlineStr">
        <is>
          <t>NO</t>
        </is>
      </c>
      <c r="F12" s="101" t="inlineStr">
        <is>
          <t>Is the space fitted/renovated? What condition was it in pre-build?</t>
        </is>
      </c>
    </row>
    <row r="13" ht="18" customHeight="1">
      <c r="A13" t="inlineStr">
        <is>
          <t>Painting, flooring, wall treatments</t>
        </is>
      </c>
      <c r="B13" s="68" t="n">
        <v>30000</v>
      </c>
      <c r="C13" s="125" t="inlineStr">
        <is>
          <t>NO</t>
        </is>
      </c>
      <c r="D13" s="101" t="inlineStr">
        <is>
          <t>Cosmetic; landlord may repaint</t>
        </is>
      </c>
      <c r="E13" s="125" t="inlineStr">
        <is>
          <t>YES</t>
        </is>
      </c>
      <c r="F13" s="101" t="inlineStr">
        <is>
          <t>Was this basic refresh or premium build-out?</t>
        </is>
      </c>
    </row>
    <row r="14" ht="18" customHeight="1">
      <c r="A14" t="inlineStr">
        <is>
          <t>Plumbing upgrades (spa pipes, wet areas)</t>
        </is>
      </c>
      <c r="B14" s="68" t="n">
        <v>40000</v>
      </c>
      <c r="C14" s="114" t="inlineStr">
        <is>
          <t>YES</t>
        </is>
      </c>
      <c r="D14" s="101" t="inlineStr">
        <is>
          <t>Necessary for spa operations; stays with space</t>
        </is>
      </c>
      <c r="E14" t="inlineStr">
        <is>
          <t>MAYBE</t>
        </is>
      </c>
      <c r="F14" s="101" t="inlineStr">
        <is>
          <t>Are water lines upgraded for spa use? What's condition?</t>
        </is>
      </c>
    </row>
    <row r="15" ht="18" customHeight="1">
      <c r="A15" t="inlineStr">
        <is>
          <t>HVAC &amp; Ventilation (humid spa environment)</t>
        </is>
      </c>
      <c r="B15" s="68" t="n">
        <v>35000</v>
      </c>
      <c r="C15" s="114" t="inlineStr">
        <is>
          <t>YES</t>
        </is>
      </c>
      <c r="D15" s="101" t="inlineStr">
        <is>
          <t>Required for wellness space; permanent installation</t>
        </is>
      </c>
      <c r="E15" t="inlineStr">
        <is>
          <t>MAYBE</t>
        </is>
      </c>
      <c r="F15" s="101" t="inlineStr">
        <is>
          <t>Do treatment rooms have proper humidity/temp control?</t>
        </is>
      </c>
    </row>
    <row r="16" ht="18" customHeight="1">
      <c r="A16" t="inlineStr">
        <is>
          <t>Electrical upgrades (medical equipment, laser)</t>
        </is>
      </c>
      <c r="B16" s="68" t="n">
        <v>25000</v>
      </c>
      <c r="C16" s="114" t="inlineStr">
        <is>
          <t>YES</t>
        </is>
      </c>
      <c r="D16" s="101" t="inlineStr">
        <is>
          <t>Necessary for Candela laser &amp; medical equipment</t>
        </is>
      </c>
      <c r="E16" s="125" t="inlineStr">
        <is>
          <t>YES</t>
        </is>
      </c>
      <c r="F16" s="101" t="inlineStr">
        <is>
          <t>Was electrical upgraded for medical-grade equipment?</t>
        </is>
      </c>
    </row>
    <row r="17" ht="18" customHeight="1">
      <c r="A17" t="inlineStr">
        <is>
          <t>SOFT COSTS / PROFESSIONAL SERVICES</t>
        </is>
      </c>
      <c r="B17" s="68" t="n">
        <v>80000</v>
      </c>
      <c r="C17" s="125" t="inlineStr">
        <is>
          <t>NO</t>
        </is>
      </c>
      <c r="D17" s="101" t="inlineStr">
        <is>
          <t>Non-recurring; can't recover once spent</t>
        </is>
      </c>
      <c r="E17" s="125" t="inlineStr">
        <is>
          <t>YES</t>
        </is>
      </c>
      <c r="F17" s="101" t="inlineStr">
        <is>
          <t>Did they hire expensive architects/designers?</t>
        </is>
      </c>
    </row>
    <row r="18" ht="18" customHeight="1">
      <c r="A18" t="inlineStr">
        <is>
          <t>Architecture &amp; design fees</t>
        </is>
      </c>
      <c r="B18" s="68" t="n">
        <v>25000</v>
      </c>
      <c r="C18" s="125" t="inlineStr">
        <is>
          <t>NO</t>
        </is>
      </c>
      <c r="D18" s="101" t="inlineStr">
        <is>
          <t>Design work is done; doesn't transfer</t>
        </is>
      </c>
      <c r="E18" s="125" t="inlineStr">
        <is>
          <t>YES</t>
        </is>
      </c>
      <c r="F18" s="101" t="inlineStr">
        <is>
          <t>Did they hire premium design firm vs. contractor?</t>
        </is>
      </c>
    </row>
    <row r="19" ht="18" customHeight="1">
      <c r="A19" t="inlineStr">
        <is>
          <t>Legal &amp; licensing setup</t>
        </is>
      </c>
      <c r="B19" s="68" t="n">
        <v>15000</v>
      </c>
      <c r="C19" s="124" t="inlineStr">
        <is>
          <t>PARTIAL</t>
        </is>
      </c>
      <c r="D19" s="101" t="inlineStr">
        <is>
          <t>Some licenses transfer; some must be renewed</t>
        </is>
      </c>
      <c r="E19" t="inlineStr">
        <is>
          <t>MAYBE</t>
        </is>
      </c>
      <c r="F19" s="101" t="inlineStr">
        <is>
          <t>Are all licenses in seller's name or transferable?</t>
        </is>
      </c>
    </row>
    <row r="20" ht="18" customHeight="1">
      <c r="A20" t="inlineStr">
        <is>
          <t>Permits &amp; government fees</t>
        </is>
      </c>
      <c r="B20" s="68" t="n">
        <v>12000</v>
      </c>
      <c r="C20" s="125" t="inlineStr">
        <is>
          <t>NO</t>
        </is>
      </c>
      <c r="D20" s="101" t="inlineStr">
        <is>
          <t>Already paid; regulatory requirement</t>
        </is>
      </c>
      <c r="E20" s="125" t="inlineStr">
        <is>
          <t>YES</t>
        </is>
      </c>
      <c r="F20" s="101" t="inlineStr">
        <is>
          <t>Were there expensive permit delays/re-submissions?</t>
        </is>
      </c>
    </row>
    <row r="21" ht="18" customHeight="1">
      <c r="A21" t="inlineStr">
        <is>
          <t>Accounting &amp; financial setup</t>
        </is>
      </c>
      <c r="B21" s="68" t="n">
        <v>8000</v>
      </c>
      <c r="C21" s="125" t="inlineStr">
        <is>
          <t>NO</t>
        </is>
      </c>
      <c r="D21" s="101" t="inlineStr">
        <is>
          <t>Services rendered; can't recover</t>
        </is>
      </c>
      <c r="E21" s="125" t="inlineStr">
        <is>
          <t>YES</t>
        </is>
      </c>
      <c r="F21" s="101" t="inlineStr">
        <is>
          <t>Did they use expensive Big 4 accounting firm?</t>
        </is>
      </c>
    </row>
    <row r="22" ht="18" customHeight="1">
      <c r="A22" t="inlineStr">
        <is>
          <t>Project management &amp; contingencies</t>
        </is>
      </c>
      <c r="B22" s="68" t="n">
        <v>20000</v>
      </c>
      <c r="C22" s="125" t="inlineStr">
        <is>
          <t>NO</t>
        </is>
      </c>
      <c r="D22" s="101" t="inlineStr">
        <is>
          <t>Internal cost of managing renovation</t>
        </is>
      </c>
      <c r="E22" t="inlineStr">
        <is>
          <t>NO</t>
        </is>
      </c>
      <c r="F22" s="101" t="inlineStr">
        <is>
          <t>Was project management expensive?</t>
        </is>
      </c>
    </row>
    <row r="23" ht="18" customHeight="1">
      <c r="A23" t="inlineStr">
        <is>
          <t>PRE-OPENING COSTS &amp; RAMP-UP</t>
        </is>
      </c>
      <c r="B23" s="68" t="n">
        <v>120000</v>
      </c>
      <c r="C23" s="125" t="inlineStr">
        <is>
          <t>NO</t>
        </is>
      </c>
      <c r="D23" s="101" t="inlineStr">
        <is>
          <t>Operational losses before revenue started</t>
        </is>
      </c>
      <c r="E23" s="125" t="inlineStr">
        <is>
          <t>YES</t>
        </is>
      </c>
      <c r="F23" s="101" t="inlineStr">
        <is>
          <t>How long did ramp-up take? What was monthly burn?</t>
        </is>
      </c>
    </row>
    <row r="24" ht="18" customHeight="1">
      <c r="A24" t="inlineStr">
        <is>
          <t>Staff salaries during ramp-up (6 months)</t>
        </is>
      </c>
      <c r="B24" s="68" t="n">
        <v>60000</v>
      </c>
      <c r="C24" s="125" t="inlineStr">
        <is>
          <t>NO</t>
        </is>
      </c>
      <c r="D24" s="101" t="inlineStr">
        <is>
          <t>Payroll expense; gone once employees paid</t>
        </is>
      </c>
      <c r="E24" s="125" t="inlineStr">
        <is>
          <t>YES</t>
        </is>
      </c>
      <c r="F24" s="101" t="inlineStr">
        <is>
          <t>Did they hire full staff before opening?</t>
        </is>
      </c>
    </row>
    <row r="25" ht="18" customHeight="1">
      <c r="A25" t="inlineStr">
        <is>
          <t>Marketing &amp; grand opening campaign</t>
        </is>
      </c>
      <c r="B25" s="68" t="n">
        <v>35000</v>
      </c>
      <c r="C25" s="125" t="inlineStr">
        <is>
          <t>NO</t>
        </is>
      </c>
      <c r="D25" s="101" t="inlineStr">
        <is>
          <t>Marketing expense; doesn't create asset</t>
        </is>
      </c>
      <c r="E25" s="125" t="inlineStr">
        <is>
          <t>YES</t>
        </is>
      </c>
      <c r="F25" s="101" t="inlineStr">
        <is>
          <t>Did they spend heavily on launch marketing?</t>
        </is>
      </c>
    </row>
    <row r="26" ht="18" customHeight="1">
      <c r="A26" t="inlineStr">
        <is>
          <t>Initial inventory (expensed linens, products)</t>
        </is>
      </c>
      <c r="B26" s="68" t="n">
        <v>15000</v>
      </c>
      <c r="C26" s="125" t="inlineStr">
        <is>
          <t>NO</t>
        </is>
      </c>
      <c r="D26" s="101" t="inlineStr">
        <is>
          <t>Consumables; expense not asset</t>
        </is>
      </c>
      <c r="E26" t="inlineStr">
        <is>
          <t>NO</t>
        </is>
      </c>
      <c r="F26" s="101" t="inlineStr">
        <is>
          <t>How much inventory did they start with?</t>
        </is>
      </c>
    </row>
    <row r="27" ht="18" customHeight="1">
      <c r="A27" t="inlineStr">
        <is>
          <t>Rent during buildout</t>
        </is>
      </c>
      <c r="B27" s="68" t="n">
        <v>10000</v>
      </c>
      <c r="C27" s="125" t="inlineStr">
        <is>
          <t>NO</t>
        </is>
      </c>
      <c r="D27" s="101" t="inlineStr">
        <is>
          <t>Rent is operating expense</t>
        </is>
      </c>
      <c r="E27" s="125" t="inlineStr">
        <is>
          <t>YES</t>
        </is>
      </c>
      <c r="F27" s="101" t="inlineStr">
        <is>
          <t>How long was buildout? 3-6 months rent?</t>
        </is>
      </c>
    </row>
    <row r="28" ht="18" customHeight="1">
      <c r="A28" t="inlineStr">
        <is>
          <t>MISCELLANEOUS / QUESTIONABLE ITEMS</t>
        </is>
      </c>
      <c r="B28" s="68" t="n">
        <v>92500</v>
      </c>
      <c r="C28" s="125" t="inlineStr">
        <is>
          <t>NO/PARTIAL</t>
        </is>
      </c>
      <c r="D28" s="101" t="inlineStr">
        <is>
          <t>Varies; often includes owner time &amp; financing costs</t>
        </is>
      </c>
      <c r="E28" s="125" t="inlineStr">
        <is>
          <t>YES</t>
        </is>
      </c>
      <c r="F28" s="101" t="inlineStr">
        <is>
          <t>This is where hidden costs hide</t>
        </is>
      </c>
    </row>
    <row r="29" ht="18" customHeight="1">
      <c r="A29" t="inlineStr">
        <is>
          <t>Owner sweat equity (time, not paid)</t>
        </is>
      </c>
      <c r="B29" s="68" t="n">
        <v>40000</v>
      </c>
      <c r="C29" s="125" t="inlineStr">
        <is>
          <t>NO</t>
        </is>
      </c>
      <c r="D29" s="101" t="inlineStr">
        <is>
          <t>Owner's unpaid time; can't recover</t>
        </is>
      </c>
      <c r="E29" s="125" t="inlineStr">
        <is>
          <t>YES</t>
        </is>
      </c>
      <c r="F29" s="101" t="inlineStr">
        <is>
          <t>How many hours did owner spend building this?</t>
        </is>
      </c>
    </row>
    <row r="30" ht="18" customHeight="1">
      <c r="A30" t="inlineStr">
        <is>
          <t>Financing costs / interest on loans</t>
        </is>
      </c>
      <c r="B30" s="68" t="n">
        <v>30000</v>
      </c>
      <c r="C30" s="125" t="inlineStr">
        <is>
          <t>NO</t>
        </is>
      </c>
      <c r="D30" s="101" t="inlineStr">
        <is>
          <t>Cost of money; not an asset</t>
        </is>
      </c>
      <c r="E30" s="125" t="inlineStr">
        <is>
          <t>YES</t>
        </is>
      </c>
      <c r="F30" s="101" t="inlineStr">
        <is>
          <t>Was this financed? What interest did they pay?</t>
        </is>
      </c>
    </row>
    <row r="31" ht="18" customHeight="1">
      <c r="A31" t="inlineStr">
        <is>
          <t>Insurance &amp; bonding during buildout</t>
        </is>
      </c>
      <c r="B31" s="68" t="n">
        <v>12000</v>
      </c>
      <c r="C31" s="125" t="inlineStr">
        <is>
          <t>NO</t>
        </is>
      </c>
      <c r="D31" s="101" t="inlineStr">
        <is>
          <t>Insurance is expense</t>
        </is>
      </c>
      <c r="E31" t="inlineStr">
        <is>
          <t>NO</t>
        </is>
      </c>
      <c r="F31" s="101" t="inlineStr">
        <is>
          <t>Standard business insurance cost</t>
        </is>
      </c>
    </row>
    <row r="32" ht="18" customHeight="1">
      <c r="A32" t="inlineStr">
        <is>
          <t>Equipment storage &amp; logistics</t>
        </is>
      </c>
      <c r="B32" s="68" t="n">
        <v>10500</v>
      </c>
      <c r="C32" s="125" t="inlineStr">
        <is>
          <t>NO</t>
        </is>
      </c>
      <c r="D32" s="101" t="inlineStr">
        <is>
          <t>Temporary holding costs</t>
        </is>
      </c>
      <c r="E32" t="inlineStr">
        <is>
          <t>NO</t>
        </is>
      </c>
      <c r="F32" s="101" t="inlineStr">
        <is>
          <t>Specialty equipment storage costs</t>
        </is>
      </c>
    </row>
    <row r="33" ht="16" customHeight="1">
      <c r="A33" s="78" t="inlineStr">
        <is>
          <t>TOTAL ACCOUNTED FOR</t>
        </is>
      </c>
      <c r="B33" s="126" t="n">
        <v>865000</v>
      </c>
    </row>
    <row r="36">
      <c r="A36" s="122" t="inlineStr">
        <is>
          <t>WHAT THIS MEANS FOR YOUR NEGOTIATION</t>
        </is>
      </c>
    </row>
    <row r="37">
      <c r="A37" s="116" t="inlineStr">
        <is>
          <t>The EUR 1M claim includes:</t>
        </is>
      </c>
    </row>
    <row r="38" ht="15" customHeight="1">
      <c r="A38" s="101" t="inlineStr">
        <is>
          <t>✓ EUR 357.5K in TANGIBLE ASSETS (equipment you can touch &amp; value)</t>
        </is>
      </c>
    </row>
    <row r="39" ht="15" customHeight="1">
      <c r="A39" s="101" t="inlineStr">
        <is>
          <t>✓ EUR 150K in LEASEHOLD IMPROVEMENTS (paint, flooring, HVAC) — these are PERMANENT and stay with the landlord</t>
        </is>
      </c>
    </row>
    <row r="40" ht="15" customHeight="1">
      <c r="A40" s="101" t="inlineStr">
        <is>
          <t>✓ EUR 80K in SOFT COSTS (architect, legal, design) — GONE, can't recover, not buyable</t>
        </is>
      </c>
    </row>
    <row r="41" ht="15" customHeight="1">
      <c r="A41" s="101" t="inlineStr">
        <is>
          <t>✓ EUR 120K in PRE-OPENING LOSSES (staff, marketing, rent during ramp) — OPERATING LOSS, not an investment</t>
        </is>
      </c>
    </row>
    <row r="42" ht="15" customHeight="1">
      <c r="A42" s="101" t="inlineStr">
        <is>
          <t>✓ EUR 92.5K in SWEAT EQUITY &amp; FINANCING COSTS (owner time + interest) — NOT AN ASSET YOU BUY</t>
        </is>
      </c>
    </row>
    <row r="44">
      <c r="A44" s="116" t="inlineStr">
        <is>
          <t>Why this matters:</t>
        </is>
      </c>
    </row>
    <row r="45" ht="15" customHeight="1">
      <c r="A45" s="101" t="inlineStr">
        <is>
          <t>→ Seller is mixing ASSETS you acquire with COSTS they sunk that are gone forever</t>
        </is>
      </c>
    </row>
    <row r="46" ht="15" customHeight="1">
      <c r="A46" s="101" t="inlineStr">
        <is>
          <t>→ Leasehold improvements benefit the LANDLORD (Numi Hotel), not the buyer. Why pay for them twice?</t>
        </is>
      </c>
    </row>
    <row r="47" ht="15" customHeight="1">
      <c r="A47" s="101" t="inlineStr">
        <is>
          <t>→ Pre-opening losses (EUR 120K) are the cost of getting to profitability — they reduce how much you should pay</t>
        </is>
      </c>
    </row>
    <row r="48" ht="15" customHeight="1">
      <c r="A48" s="101" t="inlineStr">
        <is>
          <t>→ Sweat equity (EUR 40K) is owner's unpaid time — not something you purchase</t>
        </is>
      </c>
    </row>
    <row r="49" ht="15" customHeight="1">
      <c r="A49" s="101" t="inlineStr">
        <is>
          <t>→ Financing costs (EUR 30K) are the cost of capital seller chose — why should you pay for that?</t>
        </is>
      </c>
    </row>
    <row r="51">
      <c r="A51" s="116" t="inlineStr">
        <is>
          <t>What you ACTUALLY get for EUR 340K:</t>
        </is>
      </c>
    </row>
    <row r="52" ht="15" customHeight="1">
      <c r="A52" s="101" t="inlineStr">
        <is>
          <t>✓ EUR 357.5K in working equipment (you could resell for EUR 350K+ if it didn't work out)</t>
        </is>
      </c>
    </row>
    <row r="53" ht="15" customHeight="1">
      <c r="A53" s="101" t="inlineStr">
        <is>
          <t>✓ Operational revenue model (EUR 360K annual spa revenue, EUR 28K+ monthly recurring)</t>
        </is>
      </c>
    </row>
    <row r="54" ht="15" customHeight="1">
      <c r="A54" s="101" t="inlineStr">
        <is>
          <t>✓ Customer relationships &amp; therapist team (concentration risk, but real value)</t>
        </is>
      </c>
    </row>
    <row r="55" ht="15" customHeight="1">
      <c r="A55" s="101" t="inlineStr">
        <is>
          <t>✓ Clinic opportunity (EUR 150K investment to launch, potential EUR 150K+ EBITDA)</t>
        </is>
      </c>
    </row>
    <row r="56" ht="15" customHeight="1">
      <c r="A56" s="101" t="inlineStr">
        <is>
          <t>✗ NOT paying for: seller's bad decisions, financing costs, or sweat equity</t>
        </is>
      </c>
    </row>
    <row r="59">
      <c r="A59" s="122" t="inlineStr">
        <is>
          <t>LIKELY SCENARIOS: How Seller Actually Reached EUR 1M</t>
        </is>
      </c>
    </row>
    <row r="60" ht="16" customHeight="1">
      <c r="A60" s="127" t="inlineStr">
        <is>
          <t>SCENARIO A: Premium Buildout (Most Likely)</t>
        </is>
      </c>
    </row>
    <row r="61" ht="16" customHeight="1">
      <c r="A61" s="101" t="inlineStr">
        <is>
          <t xml:space="preserve">  • EUR 357.5K equipment + EUR 150K buildout + EUR 80K soft costs + EUR 120K pre-opening = EUR 707.5K</t>
        </is>
      </c>
    </row>
    <row r="62" ht="16" customHeight="1">
      <c r="A62" s="101" t="inlineStr">
        <is>
          <t xml:space="preserve">  • EUR 293K gap comes from: Over-engineered HVAC (EUR 50K vs. EUR 35K assumed), premium finishes (EUR 80K), extended ramp-up with full staff (EUR 100K), expensive consultants (EUR 63K)</t>
        </is>
      </c>
    </row>
    <row r="63" ht="16" customHeight="1">
      <c r="A63" s="101" t="inlineStr">
        <is>
          <t xml:space="preserve">  • Bottom line: Owner invested in premium but didn't manage cost discipline</t>
        </is>
      </c>
    </row>
    <row r="64" ht="16" customHeight="1">
      <c r="A64" s="101" t="inlineStr">
        <is>
          <t xml:space="preserve">  • Your angle: 'You built a Rolls-Royce when a BMW would have worked. Why should I pay premium price?'</t>
        </is>
      </c>
    </row>
    <row r="66" ht="16" customHeight="1">
      <c r="A66" s="127" t="inlineStr">
        <is>
          <t>SCENARIO B: Extended Ramp-Up / Mismanagement (Possible)</t>
        </is>
      </c>
    </row>
    <row r="67" ht="16" customHeight="1">
      <c r="A67" s="101" t="inlineStr">
        <is>
          <t xml:space="preserve">  • Owner took 9-12 months to ramp instead of 6. Every month added EUR 20K burn (rent + staff + utilities).</t>
        </is>
      </c>
    </row>
    <row r="68" ht="16" customHeight="1">
      <c r="A68" s="101" t="inlineStr">
        <is>
          <t xml:space="preserve">  • Extended ramp = EUR 180K-240K pre-opening costs alone</t>
        </is>
      </c>
    </row>
    <row r="69" ht="16" customHeight="1">
      <c r="A69" s="101" t="inlineStr">
        <is>
          <t xml:space="preserve">  • Plus marketing spend didn't convert well; had to spend more to fill rooms</t>
        </is>
      </c>
    </row>
    <row r="70" ht="16" customHeight="1">
      <c r="A70" s="101" t="inlineStr">
        <is>
          <t xml:space="preserve">  • Bottom line: Operational execution was poor; owner was inefficient</t>
        </is>
      </c>
    </row>
    <row r="71" ht="16" customHeight="1">
      <c r="A71" s="101" t="inlineStr">
        <is>
          <t xml:space="preserve">  • Your angle: 'Your ramp-up was slow. My operational discipline will be better. Why pay for your inefficiency?'</t>
        </is>
      </c>
    </row>
    <row r="73" ht="16" customHeight="1">
      <c r="A73" s="127" t="inlineStr">
        <is>
          <t>SCENARIO C: Heavy Financing / Leverage (Risky Red Flag)</t>
        </is>
      </c>
    </row>
    <row r="74" ht="16" customHeight="1">
      <c r="A74" s="101" t="inlineStr">
        <is>
          <t xml:space="preserve">  • Seller borrowed EUR 500K-600K to fund this, paying 5-7% interest over 5 years</t>
        </is>
      </c>
    </row>
    <row r="75" ht="16" customHeight="1">
      <c r="A75" s="101" t="inlineStr">
        <is>
          <t xml:space="preserve">  • Interest cost alone = EUR 100K-150K over loan life</t>
        </is>
      </c>
    </row>
    <row r="76" ht="16" customHeight="1">
      <c r="A76" s="101" t="inlineStr">
        <is>
          <t xml:space="preserve">  • Equipment came on financing with 10-15% markups</t>
        </is>
      </c>
    </row>
    <row r="77" ht="16" customHeight="1">
      <c r="A77" s="101" t="inlineStr">
        <is>
          <t xml:space="preserve">  • Seller is counting 'total capital deployed' including debt service</t>
        </is>
      </c>
    </row>
    <row r="78" ht="16" customHeight="1">
      <c r="A78" s="101" t="inlineStr">
        <is>
          <t xml:space="preserve">  • Bottom line: Seller used leverage poorly; has hidden liabilities</t>
        </is>
      </c>
    </row>
    <row r="79" ht="16" customHeight="1">
      <c r="A79" s="101" t="inlineStr">
        <is>
          <t xml:space="preserve">  • Your angle: 'This was over-leveraged from the start. I'm buying the assets, not the seller's bad debt.'</t>
        </is>
      </c>
    </row>
    <row r="81" ht="16" customHeight="1">
      <c r="A81" s="127" t="inlineStr">
        <is>
          <t>SCENARIO D: Capitalization of Expenses (Accounting Red Flag)</t>
        </is>
      </c>
    </row>
    <row r="82" ht="16" customHeight="1">
      <c r="A82" s="101" t="inlineStr">
        <is>
          <t xml:space="preserve">  • Seller's accountant capitalized operating expenses as 'improvements' to inflate asset base</t>
        </is>
      </c>
    </row>
    <row r="83" ht="16" customHeight="1">
      <c r="A83" s="101" t="inlineStr">
        <is>
          <t xml:space="preserve">  • Examples: Staff training (should be expense, capitalized as 'process improvement'), marketing (capitalized as 'brand building'), repairs (capitalized as 'renovations')</t>
        </is>
      </c>
    </row>
    <row r="84" ht="16" customHeight="1">
      <c r="A84" s="101" t="inlineStr">
        <is>
          <t xml:space="preserve">  • This inflates the 'invested capital' figure but doesn't reflect real assets</t>
        </is>
      </c>
    </row>
    <row r="85" ht="16" customHeight="1">
      <c r="A85" s="101" t="inlineStr">
        <is>
          <t xml:space="preserve">  • Bottom line: EUR 1M figure may be accounting fiction, not economics</t>
        </is>
      </c>
    </row>
    <row r="86" ht="16" customHeight="1">
      <c r="A86" s="101" t="inlineStr">
        <is>
          <t xml:space="preserve">  • Your angle: 'Your accountant inflated your asset base. Real tangible value is EUR 357K.'</t>
        </is>
      </c>
    </row>
    <row r="89">
      <c r="A89" s="122" t="inlineStr">
        <is>
          <t>DUE DILIGENCE: Questions to Ask Seller About the EUR 1M</t>
        </is>
      </c>
    </row>
    <row r="90" ht="14" customHeight="1">
      <c r="A90" s="101" t="inlineStr">
        <is>
          <t>1. Can you provide an itemized breakdown of the EUR 1M investment? By category and year?</t>
        </is>
      </c>
    </row>
    <row r="91" ht="14" customHeight="1">
      <c r="A91" s="101" t="inlineStr">
        <is>
          <t>2. How much was financed vs. equity? What loans are outstanding?</t>
        </is>
      </c>
    </row>
    <row r="92" ht="14" customHeight="1">
      <c r="A92" s="101" t="inlineStr">
        <is>
          <t>3. What were the pre-opening costs? How many months did ramp-up take? How many staff did you hire upfront?</t>
        </is>
      </c>
    </row>
    <row r="93" ht="14" customHeight="1">
      <c r="A93" s="101" t="inlineStr">
        <is>
          <t>4. What was your marketing spend? How much went to launch vs. ongoing customer acquisition?</t>
        </is>
      </c>
    </row>
    <row r="94" ht="14" customHeight="1">
      <c r="A94" s="101" t="inlineStr">
        <is>
          <t>5. Did you hire consultants or architects? How much did that cost?</t>
        </is>
      </c>
    </row>
    <row r="95" ht="14" customHeight="1">
      <c r="A95" s="101" t="inlineStr">
        <is>
          <t>6. What major renovations did you do beyond the equipment? Plumbing? Electrical?</t>
        </is>
      </c>
    </row>
    <row r="96" ht="14" customHeight="1">
      <c r="A96" s="101" t="inlineStr">
        <is>
          <t>7. What's the basis for your EUR 1M claim? Are you using book value, fair market value, or replacement cost?</t>
        </is>
      </c>
    </row>
    <row r="97" ht="14" customHeight="1">
      <c r="A97" s="101" t="inlineStr">
        <is>
          <t>8. If we put the business up for sale to another buyer, what do you think the assets are worth?</t>
        </is>
      </c>
    </row>
    <row r="98" ht="14" customHeight="1">
      <c r="A98" s="101" t="inlineStr">
        <is>
          <t>9. Are there any equipment loans, liens, or UCC filings against equipment?</t>
        </is>
      </c>
    </row>
    <row r="99" ht="14" customHeight="1">
      <c r="A99" s="101" t="inlineStr">
        <is>
          <t>10. If you were to rebuild this from scratch today, what would it cost?</t>
        </is>
      </c>
    </row>
    <row r="102">
      <c r="A102" s="122" t="inlineStr">
        <is>
          <t>YOUR NEGOTIATION POSTURE</t>
        </is>
      </c>
    </row>
    <row r="103" ht="80" customHeight="1">
      <c r="A103" s="101" t="inlineStr">
        <is>
          <t>DO SAY:
'I appreciate you've invested heavily into building this business. But when I look at the tangible assets — equipment, furniture, systems — I value them at EUR 357K. The EUR 1M includes buildout costs that benefit the landlord, soft costs that are gone, and pre-opening losses that are just the cost of reaching profitability. I'm not asking you to absorb those losses; I'm saying I shouldn't pay twice for them. My offer reflects what the operating business is worth, not what it cost you to build. EUR 340K is fair for the ongoing business.'
DON'T SAY:
'You wasted EUR 643K.' (Makes seller defensive)
'Your numbers are wrong.' (Accusatory)
'I don't believe you spent that much.' (Questioning integrity)
INSTEAD:
'Help me understand how you got to EUR 1M. I want to make sure I'm valuing everything you've built.'</t>
        </is>
      </c>
    </row>
  </sheetData>
  <mergeCells count="61">
    <mergeCell ref="A67:H67"/>
    <mergeCell ref="A48:H48"/>
    <mergeCell ref="A92:H92"/>
    <mergeCell ref="A39:H39"/>
    <mergeCell ref="A77:H77"/>
    <mergeCell ref="A83:H83"/>
    <mergeCell ref="A59:H59"/>
    <mergeCell ref="A73:H73"/>
    <mergeCell ref="A51:H51"/>
    <mergeCell ref="A64:H64"/>
    <mergeCell ref="A82:H82"/>
    <mergeCell ref="A60:H60"/>
    <mergeCell ref="A98:H98"/>
    <mergeCell ref="A36:H36"/>
    <mergeCell ref="A49:H49"/>
    <mergeCell ref="A45:H45"/>
    <mergeCell ref="A1:H1"/>
    <mergeCell ref="A94:H94"/>
    <mergeCell ref="A79:H79"/>
    <mergeCell ref="A103:H103"/>
    <mergeCell ref="A61:H61"/>
    <mergeCell ref="A70:H70"/>
    <mergeCell ref="A78:H78"/>
    <mergeCell ref="A69:H69"/>
    <mergeCell ref="A54:H54"/>
    <mergeCell ref="A99:H99"/>
    <mergeCell ref="A41:H41"/>
    <mergeCell ref="A90:H90"/>
    <mergeCell ref="A66:H66"/>
    <mergeCell ref="A46:H46"/>
    <mergeCell ref="A37:H37"/>
    <mergeCell ref="A4:C4"/>
    <mergeCell ref="A75:H75"/>
    <mergeCell ref="A84:H84"/>
    <mergeCell ref="A89:H89"/>
    <mergeCell ref="A74:H74"/>
    <mergeCell ref="A56:H56"/>
    <mergeCell ref="A55:H55"/>
    <mergeCell ref="A86:H86"/>
    <mergeCell ref="A95:H95"/>
    <mergeCell ref="A2:H2"/>
    <mergeCell ref="A71:H71"/>
    <mergeCell ref="A85:H85"/>
    <mergeCell ref="A42:H42"/>
    <mergeCell ref="A76:H76"/>
    <mergeCell ref="A47:H47"/>
    <mergeCell ref="A97:H97"/>
    <mergeCell ref="A62:H62"/>
    <mergeCell ref="A53:H53"/>
    <mergeCell ref="A91:H91"/>
    <mergeCell ref="A81:H81"/>
    <mergeCell ref="A38:H38"/>
    <mergeCell ref="A96:H96"/>
    <mergeCell ref="A63:H63"/>
    <mergeCell ref="A52:H52"/>
    <mergeCell ref="A10:H10"/>
    <mergeCell ref="A68:H68"/>
    <mergeCell ref="A44:H44"/>
    <mergeCell ref="A102:H102"/>
    <mergeCell ref="A93:H93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2026-02-22T17:52:19Z</dcterms:created>
  <dcterms:modified xsi:type="dcterms:W3CDTF">2026-02-22T20:34:56Z</dcterms:modified>
</cp:coreProperties>
</file>