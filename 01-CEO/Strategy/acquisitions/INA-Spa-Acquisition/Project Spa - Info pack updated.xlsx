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" sheetId="1" r:id="rId4"/>
    <sheet state="visible" name="Sales" sheetId="2" r:id="rId5"/>
    <sheet state="visible" name="P&amp;L" sheetId="3" r:id="rId6"/>
    <sheet state="visible" name="Capex" sheetId="4" r:id="rId7"/>
    <sheet state="visible" name="Lease" sheetId="5" r:id="rId8"/>
  </sheets>
  <definedNames/>
  <calcPr/>
  <extLst>
    <ext uri="GoogleSheetsCustomDataVersion2">
      <go:sheetsCustomData xmlns:go="http://customooxmlschemas.google.com/" r:id="rId9" roundtripDataChecksum="+f01Qn/rQ9xGSIEVpFvbEGvWowqtSyMII+gYYDLyDis="/>
    </ext>
  </extLst>
</workbook>
</file>

<file path=xl/sharedStrings.xml><?xml version="1.0" encoding="utf-8"?>
<sst xmlns="http://schemas.openxmlformats.org/spreadsheetml/2006/main" count="130" uniqueCount="116">
  <si>
    <t xml:space="preserve">A fully operational, premium spa facility, opened in January 2024, is available for lease takeover by a qualified third-party operator. </t>
  </si>
  <si>
    <t xml:space="preserve">The current operator has invested approximately €800,000 in fit-out and infrastructure and is seeking a structured transition </t>
  </si>
  <si>
    <t>to a strategic operator capable of leveraging economies of scale and operational synergies.</t>
  </si>
  <si>
    <t>The business is currently trading at minimal profit (at c. 45% of capacity) and presents immediate upside under a multi-site or established spa operator.</t>
  </si>
  <si>
    <t xml:space="preserve">The proposed ‘Transfer of Business’ structure involves lease assignment or approved takeover, subject to landlord consent. </t>
  </si>
  <si>
    <t>Ina Spa, located in Sliema is operated by Well Being Services Ltd</t>
  </si>
  <si>
    <t>Key Investment Highlights</t>
  </si>
  <si>
    <t>Turnkey, fully fitted premium spa</t>
  </si>
  <si>
    <t>Approx. €800k invested in capex and fit-out</t>
  </si>
  <si>
    <t>Strong local demand and walk-in's</t>
  </si>
  <si>
    <t>Diversified treatment offering</t>
  </si>
  <si>
    <t>Immediate operational platform. No build delay</t>
  </si>
  <si>
    <t xml:space="preserve">Tenant currently negotiating sublease income from the hair salon at €20k / per annum </t>
  </si>
  <si>
    <t xml:space="preserve">The Spa </t>
  </si>
  <si>
    <t xml:space="preserve">The SPA is spread over 600sqm in a prime location. </t>
  </si>
  <si>
    <t xml:space="preserve">Although it's linked to a hotel, gym and outdoor pool facilities it has street level access and visibility </t>
  </si>
  <si>
    <t xml:space="preserve">which is not typical of a Spa located inside a hotel structure. </t>
  </si>
  <si>
    <t xml:space="preserve">The spa includes reception and waiting areas, beauty salon, hair salon space (pending sub-letting), </t>
  </si>
  <si>
    <t>7 treatment rooms, hammam and sauna facilities, laundry, storage, and full back-of-house setup</t>
  </si>
  <si>
    <t xml:space="preserve">Spa Team </t>
  </si>
  <si>
    <t xml:space="preserve">Team includes 1x Senior Spa Therapist, 7x Spa Therapists, 2x Receptionists, 1x  Manager and 2 cleaners. </t>
  </si>
  <si>
    <t xml:space="preserve">Contact </t>
  </si>
  <si>
    <t xml:space="preserve">Jonathan Shaw </t>
  </si>
  <si>
    <t>jon@hattenadvisory.com</t>
  </si>
  <si>
    <t>% YoY Growth (25v24)</t>
  </si>
  <si>
    <t xml:space="preserve">Monthly Sales - excluding vat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</si>
  <si>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</si>
  <si>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</si>
  <si>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</si>
  <si>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</si>
  <si>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</si>
  <si>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</si>
  <si>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</si>
  <si>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</si>
  <si>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</si>
  <si>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</si>
  <si>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</si>
  <si>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</si>
  <si>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 </t>
  </si>
  <si>
    <t xml:space="preserve">Quarterly Sales - excluding vat </t>
  </si>
  <si>
    <t>Q1</t>
  </si>
  <si>
    <t>Q2</t>
  </si>
  <si>
    <t>Q3</t>
  </si>
  <si>
    <t>Q4</t>
  </si>
  <si>
    <r>
      <rPr>
        <rFont val="Arial"/>
        <b/>
        <color theme="1"/>
        <sz val="14.0"/>
      </rPr>
      <t>Treatment Mix by quantity (2025)</t>
    </r>
    <r>
      <rPr>
        <rFont val="Arial"/>
        <b/>
        <color rgb="FFFF0000"/>
        <sz val="14.0"/>
      </rPr>
      <t xml:space="preserve"> </t>
    </r>
  </si>
  <si>
    <t>Massages</t>
  </si>
  <si>
    <t>Laser</t>
  </si>
  <si>
    <t>T-Shape</t>
  </si>
  <si>
    <t>Hammam</t>
  </si>
  <si>
    <t>Facials</t>
  </si>
  <si>
    <t>Manicures &amp; Pedicures</t>
  </si>
  <si>
    <t>Other</t>
  </si>
  <si>
    <t>Source of Appointments (2025)</t>
  </si>
  <si>
    <t>Barcelo</t>
  </si>
  <si>
    <t>Landsend</t>
  </si>
  <si>
    <t>Local</t>
  </si>
  <si>
    <t>Total</t>
  </si>
  <si>
    <t xml:space="preserve">P&amp;L </t>
  </si>
  <si>
    <t xml:space="preserve">Jan - Dec 2025 </t>
  </si>
  <si>
    <t>EURO</t>
  </si>
  <si>
    <t xml:space="preserve">Trading Income </t>
  </si>
  <si>
    <t xml:space="preserve">Cost of Sales </t>
  </si>
  <si>
    <t xml:space="preserve">Gross Profit </t>
  </si>
  <si>
    <t xml:space="preserve">Other Income (commission/ other rent) </t>
  </si>
  <si>
    <t>Advertising</t>
  </si>
  <si>
    <t>Staff events</t>
  </si>
  <si>
    <t>IT Repairs &amp; maintenance</t>
  </si>
  <si>
    <t>IT Software renewal</t>
  </si>
  <si>
    <t>Electricity &amp; water</t>
  </si>
  <si>
    <t>General expenses</t>
  </si>
  <si>
    <t>Insurance</t>
  </si>
  <si>
    <t>Cleaning cost</t>
  </si>
  <si>
    <t>Marketing</t>
  </si>
  <si>
    <t>Printing &amp; Stationary</t>
  </si>
  <si>
    <t>Rent</t>
  </si>
  <si>
    <t>General repairs &amp; maintenance</t>
  </si>
  <si>
    <t>Wages and salaries</t>
  </si>
  <si>
    <t>Telephone / internet</t>
  </si>
  <si>
    <t>EBITDA</t>
  </si>
  <si>
    <t>Depreciation</t>
  </si>
  <si>
    <t>Profit before tax</t>
  </si>
  <si>
    <t>CAPEX</t>
  </si>
  <si>
    <t xml:space="preserve">ITEM </t>
  </si>
  <si>
    <t xml:space="preserve">EURO (excl. vat) </t>
  </si>
  <si>
    <t>CARISMA</t>
  </si>
  <si>
    <t>Key Contractor ( finishes)</t>
  </si>
  <si>
    <t>DTE( Electrical and plumbing)</t>
  </si>
  <si>
    <t>HVAC( Daiken)</t>
  </si>
  <si>
    <t>Alberta ( cctv, alarm, elv)</t>
  </si>
  <si>
    <t xml:space="preserve">Designer Fee </t>
  </si>
  <si>
    <t>Furniture (Domestica)</t>
  </si>
  <si>
    <t>Tiles( Uniq)</t>
  </si>
  <si>
    <t>Hammam( Juno)</t>
  </si>
  <si>
    <t>Couches</t>
  </si>
  <si>
    <t>Sanitary ware( Uniq)</t>
  </si>
  <si>
    <t>Light fittings ( elektra)</t>
  </si>
  <si>
    <t>Sound+lighting(Astral)</t>
  </si>
  <si>
    <t>Hammam heat pump( Daiken)</t>
  </si>
  <si>
    <t>Hallman Marble</t>
  </si>
  <si>
    <t>Icebath ( Dreampod)</t>
  </si>
  <si>
    <t>Upholstery</t>
  </si>
  <si>
    <t>Pedicure chairs</t>
  </si>
  <si>
    <t>Moss Wall</t>
  </si>
  <si>
    <t>Sheer</t>
  </si>
  <si>
    <t>Side tables </t>
  </si>
  <si>
    <t>Fireplace ( il camino)</t>
  </si>
  <si>
    <t xml:space="preserve">Additional Equipment (recently purchased) </t>
  </si>
  <si>
    <t xml:space="preserve">Candela machine </t>
  </si>
  <si>
    <t xml:space="preserve">T-Shape machine </t>
  </si>
  <si>
    <t xml:space="preserve">Terms of Lease </t>
  </si>
  <si>
    <t>15-year lease term commencing November 2023</t>
  </si>
  <si>
    <t>Fixed annual rent (60k in Year 3) plus 5% turnover component</t>
  </si>
  <si>
    <t>Fixed Rent increases by 3% annually</t>
  </si>
  <si>
    <t>3-month rent security deposit</t>
  </si>
  <si>
    <t>Assignment/subletting subject to landlord consent</t>
  </si>
  <si>
    <t xml:space="preserve">Spa permitted use for hotel guests (towel provided by hotel reception)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</si>
</sst>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€&quot;#,##0"/>
    <numFmt numFmtId="165" formatCode="0.0%"/>
    <numFmt numFmtId="166" formatCode="_-* #,##0_-;\-* #,##0_-;_-* &quot;-&quot;??_-;_-@"/>
    <numFmt numFmtId="167" formatCode="&quot;€&quot;#,##0_);[Red]\(&quot;€&quot;#,##0\)"/>
    <numFmt numFmtId="168" formatCode="&quot;€&quot;#,##0.00_);[Red]\(&quot;€&quot;#,##0.00\)"/>
  </numFmts>
  <fonts count="13">
    <font>
      <sz val="12.0"/>
      <color theme="1"/>
      <name val="Aptos Narrow"/>
      <scheme val="minor"/>
    </font>
    <font>
      <sz val="14.0"/>
      <color theme="1"/>
      <name val="Arial"/>
    </font>
    <font>
      <sz val="14.0"/>
      <color theme="1"/>
      <name val="Aptos Narrow"/>
    </font>
    <font>
      <sz val="14.0"/>
      <color rgb="FF000000"/>
      <name val="Arial"/>
    </font>
    <font>
      <b/>
      <sz val="14.0"/>
      <color rgb="FF000000"/>
      <name val="Arial"/>
    </font>
    <font>
      <b/>
      <sz val="14.0"/>
      <color theme="1"/>
      <name val="Arial"/>
    </font>
    <font>
      <u/>
      <sz val="14.0"/>
      <color theme="10"/>
      <name val="Arial"/>
    </font>
    <font>
      <b/>
      <u/>
      <sz val="14.0"/>
      <color theme="1"/>
      <name val="Arial"/>
    </font>
    <font>
      <b/>
      <u/>
      <sz val="14.0"/>
      <color theme="1"/>
      <name val="Arial"/>
    </font>
    <font>
      <i/>
      <sz val="14.0"/>
      <color theme="1"/>
      <name val="Arial"/>
    </font>
    <font>
      <b/>
      <i/>
      <sz val="14.0"/>
      <color theme="1"/>
      <name val="Arial"/>
    </font>
    <font>
      <u/>
      <sz val="14.0"/>
      <color theme="1"/>
      <name val="Arial"/>
    </font>
    <font>
      <u/>
      <sz val="14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6">
    <border/>
    <border>
      <left/>
      <right/>
      <top/>
      <bottom/>
    </border>
    <border>
      <top style="thin">
        <color rgb="FF000000"/>
      </top>
    </border>
    <border>
      <left/>
      <right/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vertical="center"/>
    </xf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horizontal="center"/>
    </xf>
    <xf borderId="1" fillId="2" fontId="8" numFmtId="0" xfId="0" applyAlignment="1" applyBorder="1" applyFill="1" applyFont="1">
      <alignment horizontal="center"/>
    </xf>
    <xf borderId="1" fillId="2" fontId="1" numFmtId="0" xfId="0" applyBorder="1" applyFont="1"/>
    <xf borderId="0" fillId="0" fontId="1" numFmtId="164" xfId="0" applyAlignment="1" applyFont="1" applyNumberFormat="1">
      <alignment horizontal="center"/>
    </xf>
    <xf borderId="1" fillId="2" fontId="9" numFmtId="165" xfId="0" applyBorder="1" applyFont="1" applyNumberFormat="1"/>
    <xf borderId="0" fillId="0" fontId="1" numFmtId="164" xfId="0" applyFont="1" applyNumberFormat="1"/>
    <xf borderId="2" fillId="0" fontId="5" numFmtId="164" xfId="0" applyAlignment="1" applyBorder="1" applyFont="1" applyNumberFormat="1">
      <alignment horizontal="center"/>
    </xf>
    <xf borderId="3" fillId="2" fontId="10" numFmtId="165" xfId="0" applyBorder="1" applyFont="1" applyNumberFormat="1"/>
    <xf borderId="0" fillId="0" fontId="5" numFmtId="0" xfId="0" applyAlignment="1" applyFont="1">
      <alignment horizontal="center"/>
    </xf>
    <xf borderId="0" fillId="0" fontId="5" numFmtId="10" xfId="0" applyAlignment="1" applyFont="1" applyNumberFormat="1">
      <alignment horizontal="center"/>
    </xf>
    <xf borderId="0" fillId="0" fontId="9" numFmtId="0" xfId="0" applyFont="1"/>
    <xf borderId="0" fillId="0" fontId="9" numFmtId="165" xfId="0" applyAlignment="1" applyFont="1" applyNumberFormat="1">
      <alignment horizontal="right"/>
    </xf>
    <xf borderId="0" fillId="0" fontId="1" numFmtId="165" xfId="0" applyFont="1" applyNumberFormat="1"/>
    <xf borderId="0" fillId="0" fontId="1" numFmtId="9" xfId="0" applyFont="1" applyNumberFormat="1"/>
    <xf borderId="0" fillId="0" fontId="5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1" numFmtId="0" xfId="0" applyAlignment="1" applyFont="1">
      <alignment horizontal="center"/>
    </xf>
    <xf borderId="1" fillId="2" fontId="12" numFmtId="0" xfId="0" applyAlignment="1" applyBorder="1" applyFont="1">
      <alignment horizontal="center"/>
    </xf>
    <xf borderId="0" fillId="0" fontId="1" numFmtId="166" xfId="0" applyAlignment="1" applyFont="1" applyNumberFormat="1">
      <alignment horizontal="right"/>
    </xf>
    <xf borderId="0" fillId="0" fontId="1" numFmtId="166" xfId="0" applyAlignment="1" applyFont="1" applyNumberFormat="1">
      <alignment horizontal="center"/>
    </xf>
    <xf borderId="1" fillId="2" fontId="1" numFmtId="166" xfId="0" applyAlignment="1" applyBorder="1" applyFont="1" applyNumberFormat="1">
      <alignment horizontal="center"/>
    </xf>
    <xf borderId="4" fillId="0" fontId="5" numFmtId="166" xfId="0" applyAlignment="1" applyBorder="1" applyFont="1" applyNumberFormat="1">
      <alignment horizontal="center"/>
    </xf>
    <xf borderId="5" fillId="2" fontId="5" numFmtId="166" xfId="0" applyAlignment="1" applyBorder="1" applyFont="1" applyNumberFormat="1">
      <alignment horizontal="center"/>
    </xf>
    <xf borderId="0" fillId="0" fontId="1" numFmtId="3" xfId="0" applyFont="1" applyNumberFormat="1"/>
    <xf borderId="2" fillId="0" fontId="5" numFmtId="3" xfId="0" applyBorder="1" applyFont="1" applyNumberFormat="1"/>
    <xf borderId="4" fillId="0" fontId="5" numFmtId="3" xfId="0" applyBorder="1" applyFont="1" applyNumberFormat="1"/>
    <xf borderId="0" fillId="0" fontId="5" numFmtId="0" xfId="0" applyAlignment="1" applyFont="1">
      <alignment horizontal="center" readingOrder="0"/>
    </xf>
    <xf borderId="0" fillId="0" fontId="1" numFmtId="167" xfId="0" applyAlignment="1" applyFont="1" applyNumberFormat="1">
      <alignment readingOrder="0"/>
    </xf>
    <xf borderId="0" fillId="0" fontId="5" numFmtId="0" xfId="0" applyAlignment="1" applyFont="1">
      <alignment horizontal="right"/>
    </xf>
    <xf borderId="0" fillId="0" fontId="5" numFmtId="167" xfId="0" applyFont="1" applyNumberFormat="1"/>
    <xf borderId="0" fillId="0" fontId="1" numFmtId="168" xfId="0" applyFont="1" applyNumberFormat="1"/>
    <xf borderId="0" fillId="0" fontId="1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1</xdr:row>
      <xdr:rowOff>76200</xdr:rowOff>
    </xdr:from>
    <xdr:ext cx="4362450" cy="800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on@hattenadvisory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6" width="10.89"/>
    <col customWidth="1" min="7" max="7" width="14.0"/>
    <col customWidth="1" min="8" max="26" width="10.89"/>
  </cols>
  <sheetData>
    <row r="1" ht="18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75" customHeight="1">
      <c r="A7" s="1" t="s">
        <v>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" t="s">
        <v>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1" t="s">
        <v>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1" t="s">
        <v>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" t="s">
        <v>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1" t="s">
        <v>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4" t="s">
        <v>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" t="s">
        <v>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" t="s">
        <v>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5" t="s">
        <v>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" t="s">
        <v>10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" t="s">
        <v>11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1" t="s">
        <v>12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6" t="s">
        <v>13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 t="s">
        <v>14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 t="s">
        <v>15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 t="s">
        <v>16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3" t="s">
        <v>17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1" t="s">
        <v>18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6" t="s">
        <v>19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 t="s">
        <v>20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6" t="s">
        <v>21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1" t="s">
        <v>22</v>
      </c>
      <c r="B38" s="1"/>
      <c r="C38" s="1"/>
      <c r="D38" s="7" t="s">
        <v>23</v>
      </c>
      <c r="E38" s="1"/>
      <c r="F38" s="1"/>
      <c r="G38" s="1">
        <v>9.98686E7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8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8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D38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28.11"/>
    <col customWidth="1" min="6" max="9" width="10.89"/>
    <col customWidth="1" min="10" max="10" width="15.0"/>
    <col customWidth="1" min="11" max="11" width="12.0"/>
    <col customWidth="1" min="12" max="12" width="15.33"/>
    <col customWidth="1" min="13" max="13" width="13.33"/>
    <col customWidth="1" min="14" max="26" width="10.89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6"/>
      <c r="B3" s="8">
        <v>2024.0</v>
      </c>
      <c r="C3" s="8">
        <v>2025.0</v>
      </c>
      <c r="D3" s="9" t="s">
        <v>24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6"/>
      <c r="B4" s="8"/>
      <c r="C4" s="8"/>
      <c r="D4" s="10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6"/>
      <c r="B5" s="8"/>
      <c r="C5" s="8"/>
      <c r="D5" s="10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6" t="s">
        <v>25</v>
      </c>
      <c r="B6" s="1"/>
      <c r="C6" s="1"/>
      <c r="D6" s="10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1" t="s">
        <v>26</v>
      </c>
      <c r="B7" s="11">
        <v>13746.0</v>
      </c>
      <c r="C7" s="11">
        <v>26841.0</v>
      </c>
      <c r="D7" s="12">
        <f t="shared" ref="D7:D19" si="1">C7/B7-1</f>
        <v>0.9526407682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1" t="s">
        <v>27</v>
      </c>
      <c r="B8" s="11">
        <v>16473.0</v>
      </c>
      <c r="C8" s="11">
        <v>38174.0</v>
      </c>
      <c r="D8" s="12">
        <f t="shared" si="1"/>
        <v>1.317367814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1" t="s">
        <v>28</v>
      </c>
      <c r="B9" s="11">
        <v>19132.0</v>
      </c>
      <c r="C9" s="11">
        <v>47534.0</v>
      </c>
      <c r="D9" s="12">
        <f t="shared" si="1"/>
        <v>1.484528539</v>
      </c>
      <c r="E9" s="1"/>
      <c r="F9" s="1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1" t="s">
        <v>29</v>
      </c>
      <c r="B10" s="11">
        <v>25709.0</v>
      </c>
      <c r="C10" s="11">
        <v>40672.0</v>
      </c>
      <c r="D10" s="12">
        <f t="shared" si="1"/>
        <v>0.5820140807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" t="s">
        <v>30</v>
      </c>
      <c r="B11" s="11">
        <v>25468.0</v>
      </c>
      <c r="C11" s="11">
        <v>41542.0</v>
      </c>
      <c r="D11" s="12">
        <f t="shared" si="1"/>
        <v>0.6311449662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" t="s">
        <v>31</v>
      </c>
      <c r="B12" s="11">
        <v>28456.0</v>
      </c>
      <c r="C12" s="11">
        <v>30061.0</v>
      </c>
      <c r="D12" s="12">
        <f t="shared" si="1"/>
        <v>0.05640286759</v>
      </c>
      <c r="E12" s="1"/>
      <c r="F12" s="1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1" t="s">
        <v>32</v>
      </c>
      <c r="B13" s="11">
        <v>26471.0</v>
      </c>
      <c r="C13" s="11">
        <v>22047.0</v>
      </c>
      <c r="D13" s="12">
        <f t="shared" si="1"/>
        <v>-0.1671262891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1" t="s">
        <v>33</v>
      </c>
      <c r="B14" s="11">
        <v>24588.0</v>
      </c>
      <c r="C14" s="11">
        <v>27868.0</v>
      </c>
      <c r="D14" s="12">
        <f t="shared" si="1"/>
        <v>0.1333984057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1" t="s">
        <v>34</v>
      </c>
      <c r="B15" s="11">
        <v>36919.0</v>
      </c>
      <c r="C15" s="11">
        <v>35646.0</v>
      </c>
      <c r="D15" s="12">
        <f t="shared" si="1"/>
        <v>-0.0344808906</v>
      </c>
      <c r="E15" s="1"/>
      <c r="F15" s="1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1" t="s">
        <v>35</v>
      </c>
      <c r="B16" s="11">
        <v>32459.0</v>
      </c>
      <c r="C16" s="11">
        <v>41456.0</v>
      </c>
      <c r="D16" s="12">
        <f t="shared" si="1"/>
        <v>0.277180443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 t="s">
        <v>36</v>
      </c>
      <c r="B17" s="11">
        <v>34941.0</v>
      </c>
      <c r="C17" s="11">
        <v>38484.0</v>
      </c>
      <c r="D17" s="12">
        <f t="shared" si="1"/>
        <v>0.101399502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 t="s">
        <v>37</v>
      </c>
      <c r="B18" s="11">
        <v>36897.0</v>
      </c>
      <c r="C18" s="11">
        <v>35693.0</v>
      </c>
      <c r="D18" s="12">
        <f t="shared" si="1"/>
        <v>-0.03263137924</v>
      </c>
      <c r="E18" s="1"/>
      <c r="F18" s="1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6" t="s">
        <v>38</v>
      </c>
      <c r="B19" s="14">
        <f t="shared" ref="B19:C19" si="2">SUM(B7:B18)</f>
        <v>321259</v>
      </c>
      <c r="C19" s="14">
        <f t="shared" si="2"/>
        <v>426018</v>
      </c>
      <c r="D19" s="15">
        <f t="shared" si="1"/>
        <v>0.3260889189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6"/>
      <c r="B20" s="16"/>
      <c r="C20" s="17"/>
      <c r="D20" s="1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6"/>
      <c r="B21" s="16"/>
      <c r="C21" s="17"/>
      <c r="D21" s="18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6" t="s">
        <v>39</v>
      </c>
      <c r="B22" s="16"/>
      <c r="C22" s="17"/>
      <c r="D22" s="18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1" t="s">
        <v>40</v>
      </c>
      <c r="B23" s="11">
        <f t="shared" ref="B23:C23" si="3">SUM(B7:B9)</f>
        <v>49351</v>
      </c>
      <c r="C23" s="11">
        <f t="shared" si="3"/>
        <v>112549</v>
      </c>
      <c r="D23" s="12">
        <f t="shared" ref="D23:D27" si="5">C23/B23-1</f>
        <v>1.280581954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 t="s">
        <v>41</v>
      </c>
      <c r="B24" s="11">
        <f t="shared" ref="B24:C24" si="4">SUM(B10:B12)</f>
        <v>79633</v>
      </c>
      <c r="C24" s="11">
        <f t="shared" si="4"/>
        <v>112275</v>
      </c>
      <c r="D24" s="12">
        <f t="shared" si="5"/>
        <v>0.4099054412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1" t="s">
        <v>42</v>
      </c>
      <c r="B25" s="11">
        <f t="shared" ref="B25:C25" si="6">SUM(B13:B15)</f>
        <v>87978</v>
      </c>
      <c r="C25" s="11">
        <f t="shared" si="6"/>
        <v>85561</v>
      </c>
      <c r="D25" s="12">
        <f t="shared" si="5"/>
        <v>-0.02747277729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1" t="s">
        <v>43</v>
      </c>
      <c r="B26" s="11">
        <f t="shared" ref="B26:C26" si="7">SUM(B16:B18)</f>
        <v>104297</v>
      </c>
      <c r="C26" s="11">
        <f t="shared" si="7"/>
        <v>115633</v>
      </c>
      <c r="D26" s="12">
        <f t="shared" si="5"/>
        <v>0.1086896076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6" t="s">
        <v>38</v>
      </c>
      <c r="B27" s="14">
        <f t="shared" ref="B27:C27" si="8">SUM(B23:B26)</f>
        <v>321259</v>
      </c>
      <c r="C27" s="14">
        <f t="shared" si="8"/>
        <v>426018</v>
      </c>
      <c r="D27" s="15">
        <f t="shared" si="5"/>
        <v>0.3260889189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6"/>
      <c r="B28" s="16"/>
      <c r="C28" s="17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6"/>
      <c r="B29" s="6"/>
      <c r="C29" s="6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6" t="s">
        <v>44</v>
      </c>
      <c r="B30" s="6"/>
      <c r="C30" s="1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1" t="s">
        <v>45</v>
      </c>
      <c r="B31" s="1"/>
      <c r="C31" s="19">
        <v>0.36997703788748565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1" t="s">
        <v>46</v>
      </c>
      <c r="B32" s="1"/>
      <c r="C32" s="19">
        <v>0.16389207807118256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1" t="s">
        <v>47</v>
      </c>
      <c r="B33" s="1"/>
      <c r="C33" s="19">
        <v>0.07161308840413318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1" t="s">
        <v>48</v>
      </c>
      <c r="B34" s="1"/>
      <c r="C34" s="19">
        <v>0.05898392652123995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" customHeight="1">
      <c r="A35" s="1" t="s">
        <v>49</v>
      </c>
      <c r="B35" s="1"/>
      <c r="C35" s="19">
        <v>0.08467278989667049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1" t="s">
        <v>50</v>
      </c>
      <c r="B36" s="1"/>
      <c r="C36" s="19">
        <v>0.0741963260619977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" customHeight="1">
      <c r="A37" s="1" t="s">
        <v>51</v>
      </c>
      <c r="B37" s="1"/>
      <c r="C37" s="19">
        <v>0.17666475315729058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0" customHeight="1">
      <c r="A38" s="1"/>
      <c r="B38" s="1"/>
      <c r="C38" s="20">
        <f>SUM(C31:C37)</f>
        <v>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0" customHeight="1">
      <c r="A39" s="1"/>
      <c r="B39" s="1"/>
      <c r="C39" s="2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0" customHeight="1">
      <c r="A40" s="1"/>
      <c r="B40" s="1"/>
      <c r="C40" s="2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A41" s="22" t="s">
        <v>52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customHeight="1">
      <c r="A42" s="1"/>
      <c r="B42" s="24" t="s">
        <v>53</v>
      </c>
      <c r="C42" s="24" t="s">
        <v>54</v>
      </c>
      <c r="D42" s="24" t="s">
        <v>55</v>
      </c>
      <c r="E42" s="25" t="s">
        <v>56</v>
      </c>
      <c r="F42" s="23"/>
      <c r="G42" s="23"/>
      <c r="H42" s="23"/>
      <c r="I42" s="23"/>
      <c r="J42" s="23"/>
      <c r="K42" s="23"/>
      <c r="L42" s="23"/>
      <c r="M42" s="2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0" customHeight="1">
      <c r="A43" s="1" t="s">
        <v>26</v>
      </c>
      <c r="B43" s="26">
        <v>103.0</v>
      </c>
      <c r="C43" s="27">
        <v>0.0</v>
      </c>
      <c r="D43" s="27">
        <v>403.0</v>
      </c>
      <c r="E43" s="28">
        <f t="shared" ref="E43:E54" si="9">SUM(B43:D43)</f>
        <v>506</v>
      </c>
      <c r="F43" s="23"/>
      <c r="G43" s="23"/>
      <c r="H43" s="23"/>
      <c r="I43" s="23"/>
      <c r="J43" s="23"/>
      <c r="K43" s="23"/>
      <c r="L43" s="23"/>
      <c r="M43" s="2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1" t="s">
        <v>27</v>
      </c>
      <c r="B44" s="26">
        <v>180.0</v>
      </c>
      <c r="C44" s="27">
        <v>0.0</v>
      </c>
      <c r="D44" s="27">
        <v>527.0</v>
      </c>
      <c r="E44" s="28">
        <f t="shared" si="9"/>
        <v>707</v>
      </c>
      <c r="F44" s="23"/>
      <c r="G44" s="23"/>
      <c r="H44" s="23"/>
      <c r="I44" s="23"/>
      <c r="J44" s="23"/>
      <c r="K44" s="23"/>
      <c r="L44" s="23"/>
      <c r="M44" s="2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0" customHeight="1">
      <c r="A45" s="1" t="s">
        <v>28</v>
      </c>
      <c r="B45" s="26">
        <v>162.0</v>
      </c>
      <c r="C45" s="27">
        <v>2.0</v>
      </c>
      <c r="D45" s="27">
        <v>598.0</v>
      </c>
      <c r="E45" s="28">
        <f t="shared" si="9"/>
        <v>762</v>
      </c>
      <c r="F45" s="23"/>
      <c r="G45" s="23"/>
      <c r="H45" s="23"/>
      <c r="I45" s="23"/>
      <c r="J45" s="23"/>
      <c r="K45" s="23"/>
      <c r="L45" s="23"/>
      <c r="M45" s="2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1" t="s">
        <v>29</v>
      </c>
      <c r="B46" s="26">
        <v>153.0</v>
      </c>
      <c r="C46" s="27">
        <v>0.0</v>
      </c>
      <c r="D46" s="27">
        <v>662.0</v>
      </c>
      <c r="E46" s="28">
        <f t="shared" si="9"/>
        <v>815</v>
      </c>
      <c r="F46" s="23"/>
      <c r="G46" s="23"/>
      <c r="H46" s="23"/>
      <c r="I46" s="23"/>
      <c r="J46" s="23"/>
      <c r="K46" s="23"/>
      <c r="L46" s="23"/>
      <c r="M46" s="2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1" t="s">
        <v>30</v>
      </c>
      <c r="B47" s="26">
        <v>104.0</v>
      </c>
      <c r="C47" s="27">
        <v>0.0</v>
      </c>
      <c r="D47" s="27">
        <v>652.0</v>
      </c>
      <c r="E47" s="28">
        <f t="shared" si="9"/>
        <v>756</v>
      </c>
      <c r="F47" s="23"/>
      <c r="G47" s="23"/>
      <c r="H47" s="23"/>
      <c r="I47" s="23"/>
      <c r="J47" s="23"/>
      <c r="K47" s="23"/>
      <c r="L47" s="23"/>
      <c r="M47" s="2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A48" s="1" t="s">
        <v>31</v>
      </c>
      <c r="B48" s="26">
        <v>109.0</v>
      </c>
      <c r="C48" s="27">
        <v>4.0</v>
      </c>
      <c r="D48" s="27">
        <v>506.0</v>
      </c>
      <c r="E48" s="28">
        <f t="shared" si="9"/>
        <v>619</v>
      </c>
      <c r="F48" s="23"/>
      <c r="G48" s="23"/>
      <c r="H48" s="23"/>
      <c r="I48" s="23"/>
      <c r="J48" s="23"/>
      <c r="K48" s="23"/>
      <c r="L48" s="23"/>
      <c r="M48" s="2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1" t="s">
        <v>32</v>
      </c>
      <c r="B49" s="26">
        <v>119.0</v>
      </c>
      <c r="C49" s="27">
        <v>1.0</v>
      </c>
      <c r="D49" s="27">
        <v>373.0</v>
      </c>
      <c r="E49" s="28">
        <f t="shared" si="9"/>
        <v>493</v>
      </c>
      <c r="F49" s="23"/>
      <c r="G49" s="23"/>
      <c r="H49" s="23"/>
      <c r="I49" s="23"/>
      <c r="J49" s="23"/>
      <c r="K49" s="23"/>
      <c r="L49" s="23"/>
      <c r="M49" s="2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customHeight="1">
      <c r="A50" s="1" t="s">
        <v>33</v>
      </c>
      <c r="B50" s="26">
        <v>118.0</v>
      </c>
      <c r="C50" s="27">
        <v>0.0</v>
      </c>
      <c r="D50" s="27">
        <v>394.0</v>
      </c>
      <c r="E50" s="28">
        <f t="shared" si="9"/>
        <v>512</v>
      </c>
      <c r="F50" s="23"/>
      <c r="G50" s="23"/>
      <c r="H50" s="23"/>
      <c r="I50" s="23"/>
      <c r="J50" s="23"/>
      <c r="K50" s="23"/>
      <c r="L50" s="23"/>
      <c r="M50" s="2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1" t="s">
        <v>34</v>
      </c>
      <c r="B51" s="26">
        <v>141.0</v>
      </c>
      <c r="C51" s="27">
        <v>0.0</v>
      </c>
      <c r="D51" s="27">
        <v>413.0</v>
      </c>
      <c r="E51" s="28">
        <f t="shared" si="9"/>
        <v>554</v>
      </c>
      <c r="F51" s="23"/>
      <c r="G51" s="23"/>
      <c r="H51" s="23"/>
      <c r="I51" s="23"/>
      <c r="J51" s="23"/>
      <c r="K51" s="23"/>
      <c r="L51" s="23"/>
      <c r="M51" s="2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A52" s="1" t="s">
        <v>35</v>
      </c>
      <c r="B52" s="26">
        <v>161.0</v>
      </c>
      <c r="C52" s="27">
        <v>0.0</v>
      </c>
      <c r="D52" s="27">
        <v>496.0</v>
      </c>
      <c r="E52" s="28">
        <f t="shared" si="9"/>
        <v>657</v>
      </c>
      <c r="F52" s="23"/>
      <c r="G52" s="23"/>
      <c r="H52" s="23"/>
      <c r="I52" s="23"/>
      <c r="J52" s="23"/>
      <c r="K52" s="23"/>
      <c r="L52" s="23"/>
      <c r="M52" s="2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1" t="s">
        <v>36</v>
      </c>
      <c r="B53" s="26">
        <v>186.0</v>
      </c>
      <c r="C53" s="27">
        <v>0.0</v>
      </c>
      <c r="D53" s="27">
        <v>419.0</v>
      </c>
      <c r="E53" s="28">
        <f t="shared" si="9"/>
        <v>605</v>
      </c>
      <c r="F53" s="23"/>
      <c r="G53" s="23"/>
      <c r="H53" s="23"/>
      <c r="I53" s="23"/>
      <c r="J53" s="23"/>
      <c r="K53" s="23"/>
      <c r="L53" s="23"/>
      <c r="M53" s="2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1" t="s">
        <v>37</v>
      </c>
      <c r="B54" s="26">
        <v>104.0</v>
      </c>
      <c r="C54" s="27">
        <v>0.0</v>
      </c>
      <c r="D54" s="27">
        <v>384.0</v>
      </c>
      <c r="E54" s="28">
        <f t="shared" si="9"/>
        <v>488</v>
      </c>
      <c r="F54" s="23"/>
      <c r="G54" s="23"/>
      <c r="H54" s="23"/>
      <c r="I54" s="23"/>
      <c r="J54" s="23"/>
      <c r="K54" s="23"/>
      <c r="L54" s="23"/>
      <c r="M54" s="2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customHeight="1">
      <c r="A55" s="22"/>
      <c r="B55" s="29">
        <f t="shared" ref="B55:E55" si="10">SUM(B43:B54)</f>
        <v>1640</v>
      </c>
      <c r="C55" s="29">
        <f t="shared" si="10"/>
        <v>7</v>
      </c>
      <c r="D55" s="29">
        <f t="shared" si="10"/>
        <v>5827</v>
      </c>
      <c r="E55" s="30">
        <f t="shared" si="10"/>
        <v>7474</v>
      </c>
      <c r="F55" s="23"/>
      <c r="G55" s="23"/>
      <c r="H55" s="23"/>
      <c r="I55" s="23"/>
      <c r="J55" s="23"/>
      <c r="K55" s="23"/>
      <c r="L55" s="23"/>
      <c r="M55" s="2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11"/>
    <col customWidth="1" min="2" max="3" width="10.89"/>
    <col customWidth="1" min="4" max="4" width="15.33"/>
    <col customWidth="1" min="5" max="5" width="15.67"/>
    <col customWidth="1" min="6" max="26" width="10.89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6" t="s">
        <v>57</v>
      </c>
      <c r="B2" s="6" t="s">
        <v>58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1"/>
      <c r="C4" s="1"/>
      <c r="D4" s="1"/>
      <c r="E4" s="16" t="s">
        <v>59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1"/>
      <c r="B5" s="1"/>
      <c r="C5" s="1"/>
      <c r="D5" s="1"/>
      <c r="E5" s="1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1" t="s">
        <v>60</v>
      </c>
      <c r="B6" s="1"/>
      <c r="C6" s="1"/>
      <c r="D6" s="1"/>
      <c r="E6" s="31">
        <v>426018.0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1" t="s">
        <v>61</v>
      </c>
      <c r="B7" s="1"/>
      <c r="C7" s="1"/>
      <c r="D7" s="1"/>
      <c r="E7" s="31">
        <v>-44437.0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6" t="s">
        <v>62</v>
      </c>
      <c r="B8" s="1"/>
      <c r="C8" s="1"/>
      <c r="D8" s="1"/>
      <c r="E8" s="32">
        <f>E6+E7</f>
        <v>381581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1" t="s">
        <v>63</v>
      </c>
      <c r="B9" s="6"/>
      <c r="C9" s="1"/>
      <c r="D9" s="1"/>
      <c r="E9" s="31">
        <v>7721.0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1" t="s">
        <v>64</v>
      </c>
      <c r="B10" s="6"/>
      <c r="C10" s="1"/>
      <c r="D10" s="1"/>
      <c r="E10" s="31">
        <v>-17000.0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" t="s">
        <v>65</v>
      </c>
      <c r="B11" s="6"/>
      <c r="C11" s="1"/>
      <c r="D11" s="1"/>
      <c r="E11" s="31">
        <v>-800.0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" t="s">
        <v>66</v>
      </c>
      <c r="B12" s="6"/>
      <c r="C12" s="1"/>
      <c r="D12" s="1"/>
      <c r="E12" s="31">
        <v>-643.0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1" t="s">
        <v>67</v>
      </c>
      <c r="B13" s="6"/>
      <c r="C13" s="1"/>
      <c r="D13" s="1"/>
      <c r="E13" s="31">
        <v>-4018.0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1" t="s">
        <v>68</v>
      </c>
      <c r="B14" s="6"/>
      <c r="C14" s="1"/>
      <c r="D14" s="1"/>
      <c r="E14" s="31">
        <v>-14741.0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1" t="s">
        <v>69</v>
      </c>
      <c r="B15" s="6"/>
      <c r="C15" s="1"/>
      <c r="D15" s="1"/>
      <c r="E15" s="31">
        <v>-8600.0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1" t="s">
        <v>70</v>
      </c>
      <c r="B16" s="6"/>
      <c r="C16" s="1"/>
      <c r="D16" s="1"/>
      <c r="E16" s="31">
        <v>-3358.0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 t="s">
        <v>71</v>
      </c>
      <c r="B17" s="6"/>
      <c r="C17" s="1"/>
      <c r="D17" s="1"/>
      <c r="E17" s="31">
        <v>-15784.0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 t="s">
        <v>72</v>
      </c>
      <c r="B18" s="6"/>
      <c r="C18" s="1"/>
      <c r="D18" s="1"/>
      <c r="E18" s="31">
        <v>-3419.0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 t="s">
        <v>73</v>
      </c>
      <c r="B19" s="6"/>
      <c r="C19" s="1"/>
      <c r="D19" s="1"/>
      <c r="E19" s="31">
        <v>-185.0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1" t="s">
        <v>74</v>
      </c>
      <c r="B20" s="6"/>
      <c r="C20" s="1"/>
      <c r="D20" s="1"/>
      <c r="E20" s="31">
        <v>-71689.0</v>
      </c>
      <c r="F20" s="1"/>
      <c r="G20" s="1"/>
      <c r="H20" s="3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 t="s">
        <v>75</v>
      </c>
      <c r="B21" s="6"/>
      <c r="C21" s="1"/>
      <c r="D21" s="1"/>
      <c r="E21" s="31">
        <v>-2117.0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1" t="s">
        <v>76</v>
      </c>
      <c r="B22" s="6"/>
      <c r="C22" s="1"/>
      <c r="D22" s="1"/>
      <c r="E22" s="31">
        <f>-199313-10261</f>
        <v>-209574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1" t="s">
        <v>77</v>
      </c>
      <c r="B23" s="6"/>
      <c r="C23" s="1"/>
      <c r="D23" s="1"/>
      <c r="E23" s="31">
        <v>-836.0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6" t="s">
        <v>78</v>
      </c>
      <c r="B24" s="6"/>
      <c r="C24" s="1"/>
      <c r="D24" s="1"/>
      <c r="E24" s="32">
        <f>SUM(E8:E23)</f>
        <v>36538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1" t="s">
        <v>79</v>
      </c>
      <c r="B25" s="6"/>
      <c r="C25" s="1"/>
      <c r="D25" s="1"/>
      <c r="E25" s="31">
        <v>-55516.0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6" t="s">
        <v>80</v>
      </c>
      <c r="B26" s="6"/>
      <c r="C26" s="1"/>
      <c r="D26" s="1"/>
      <c r="E26" s="33">
        <f>SUM(E24:E25)</f>
        <v>-18978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1"/>
      <c r="B27" s="6"/>
      <c r="C27" s="1"/>
      <c r="D27" s="1"/>
      <c r="E27" s="3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1.44"/>
    <col customWidth="1" min="2" max="2" width="21.67"/>
    <col customWidth="1" min="3" max="26" width="10.89"/>
  </cols>
  <sheetData>
    <row r="1" ht="18.0" customHeight="1">
      <c r="A1" s="6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6" t="s">
        <v>82</v>
      </c>
      <c r="B3" s="16" t="s">
        <v>83</v>
      </c>
      <c r="C3" s="34" t="s">
        <v>84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6"/>
      <c r="B4" s="6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1" t="s">
        <v>85</v>
      </c>
      <c r="B5" s="31">
        <v>173395.76</v>
      </c>
      <c r="C5" s="3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1" t="s">
        <v>86</v>
      </c>
      <c r="B6" s="31">
        <v>144067.8</v>
      </c>
      <c r="C6" s="3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1" t="s">
        <v>87</v>
      </c>
      <c r="B7" s="31">
        <v>80977.12</v>
      </c>
      <c r="C7" s="3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1" t="s">
        <v>88</v>
      </c>
      <c r="B8" s="31">
        <v>44915.25</v>
      </c>
      <c r="C8" s="3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1" t="s">
        <v>89</v>
      </c>
      <c r="B9" s="31">
        <v>40000.0</v>
      </c>
      <c r="C9" s="3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1" t="s">
        <v>90</v>
      </c>
      <c r="B10" s="31">
        <v>107501.69</v>
      </c>
      <c r="C10" s="3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" t="s">
        <v>91</v>
      </c>
      <c r="B11" s="31">
        <v>30807.63</v>
      </c>
      <c r="C11" s="35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" t="s">
        <v>92</v>
      </c>
      <c r="B12" s="31">
        <v>29661.02</v>
      </c>
      <c r="C12" s="3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1" t="s">
        <v>93</v>
      </c>
      <c r="B13" s="31">
        <v>17796.61</v>
      </c>
      <c r="C13" s="35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1" t="s">
        <v>94</v>
      </c>
      <c r="B14" s="31">
        <v>14228.81</v>
      </c>
      <c r="C14" s="35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1" t="s">
        <v>95</v>
      </c>
      <c r="B15" s="31">
        <v>11936.44</v>
      </c>
      <c r="C15" s="35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1" t="s">
        <v>96</v>
      </c>
      <c r="B16" s="31">
        <v>10000.0</v>
      </c>
      <c r="C16" s="35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 t="s">
        <v>97</v>
      </c>
      <c r="B17" s="31">
        <v>6900.0</v>
      </c>
      <c r="C17" s="35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 t="s">
        <v>98</v>
      </c>
      <c r="B18" s="31">
        <v>6504.24</v>
      </c>
      <c r="C18" s="35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 t="s">
        <v>99</v>
      </c>
      <c r="B19" s="31">
        <v>5084.75</v>
      </c>
      <c r="C19" s="35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1" t="s">
        <v>100</v>
      </c>
      <c r="B20" s="31">
        <v>3577.12</v>
      </c>
      <c r="C20" s="35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 t="s">
        <v>101</v>
      </c>
      <c r="B21" s="31">
        <v>2796.61</v>
      </c>
      <c r="C21" s="35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1" t="s">
        <v>102</v>
      </c>
      <c r="B22" s="31">
        <v>2542.37</v>
      </c>
      <c r="C22" s="35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1" t="s">
        <v>103</v>
      </c>
      <c r="B23" s="31">
        <v>2542.37</v>
      </c>
      <c r="C23" s="35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 t="s">
        <v>104</v>
      </c>
      <c r="B24" s="31">
        <v>1694.92</v>
      </c>
      <c r="C24" s="35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1" t="s">
        <v>105</v>
      </c>
      <c r="B25" s="31">
        <v>953.39</v>
      </c>
      <c r="C25" s="35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6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36" t="s">
        <v>56</v>
      </c>
      <c r="B27" s="37">
        <f>SUM(B5:B26)</f>
        <v>737883.9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6" t="s">
        <v>106</v>
      </c>
      <c r="B29" s="3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1" t="s">
        <v>107</v>
      </c>
      <c r="B31" s="39">
        <v>65000.0</v>
      </c>
      <c r="C31" s="35">
        <v>50000.0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1" t="s">
        <v>108</v>
      </c>
      <c r="B32" s="39">
        <v>55000.0</v>
      </c>
      <c r="C32" s="35">
        <v>15000.0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1.0"/>
  </cols>
  <sheetData>
    <row r="1" ht="15.75" customHeight="1">
      <c r="A1" s="6" t="s">
        <v>109</v>
      </c>
    </row>
    <row r="2" ht="15.75" customHeight="1"/>
    <row r="3" ht="15.75" customHeight="1">
      <c r="A3" s="1" t="s">
        <v>110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 t="s">
        <v>111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 t="s">
        <v>112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 t="s">
        <v>113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 t="s">
        <v>114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 t="s">
        <v>115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2026-03-02T12:57:00Z</dcterms:created>
  <dc:creator>Jonathan Shaw</dc:creator>
</cp:coreProperties>
</file>