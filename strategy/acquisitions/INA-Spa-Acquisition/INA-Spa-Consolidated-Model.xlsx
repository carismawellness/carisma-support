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Staffing" sheetId="1" state="visible" r:id="rId1"/>
    <sheet name="Monthly P&amp;L Model" sheetId="2" state="visible" r:id="rId2"/>
    <sheet name="Annual Summary &amp; 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  <sz val="10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4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165" fontId="1" fillId="5" borderId="0" pivotButton="0" quotePrefix="0" xfId="0"/>
    <xf numFmtId="165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30" customWidth="1" min="4" max="4"/>
  </cols>
  <sheetData>
    <row r="1">
      <c r="A1" s="1" t="inlineStr">
        <is>
          <t>ASSUMPTIONS &amp; STAFFING MODEL</t>
        </is>
      </c>
    </row>
    <row r="3">
      <c r="A3" s="2" t="inlineStr">
        <is>
          <t>REVENUE ASSUMPTIONS</t>
        </is>
      </c>
    </row>
    <row r="4">
      <c r="A4" s="3" t="inlineStr">
        <is>
          <t>Metric</t>
        </is>
      </c>
      <c r="B4" s="3" t="inlineStr">
        <is>
          <t>Conservative</t>
        </is>
      </c>
      <c r="C4" s="3" t="inlineStr">
        <is>
          <t>Base Case</t>
        </is>
      </c>
      <c r="D4" s="3" t="inlineStr">
        <is>
          <t>Optimistic</t>
        </is>
      </c>
    </row>
    <row r="5">
      <c r="A5" t="inlineStr">
        <is>
          <t>Spa - Average Treatment Price</t>
        </is>
      </c>
      <c r="B5" t="n">
        <v>100</v>
      </c>
      <c r="C5" t="n">
        <v>100</v>
      </c>
      <c r="D5" t="n">
        <v>100</v>
      </c>
    </row>
    <row r="6">
      <c r="A6" t="inlineStr">
        <is>
          <t>Spa - Monthly Utilization %</t>
        </is>
      </c>
      <c r="B6" s="4" t="n">
        <v>0.4</v>
      </c>
      <c r="C6" s="4" t="n">
        <v>0.45</v>
      </c>
      <c r="D6" s="4" t="n">
        <v>0.5</v>
      </c>
    </row>
    <row r="7">
      <c r="A7" t="inlineStr">
        <is>
          <t>Aesthetics - Average Price</t>
        </is>
      </c>
      <c r="B7" s="5" t="n">
        <v>250</v>
      </c>
      <c r="C7" s="5" t="n">
        <v>250</v>
      </c>
      <c r="D7" s="5" t="n">
        <v>250</v>
      </c>
    </row>
    <row r="8">
      <c r="A8" t="inlineStr">
        <is>
          <t>Spa Month 12 Revenue</t>
        </is>
      </c>
      <c r="B8" s="5" t="n">
        <v>30000</v>
      </c>
      <c r="C8" s="5" t="n">
        <v>40000</v>
      </c>
      <c r="D8" s="5" t="n">
        <v>50000</v>
      </c>
    </row>
    <row r="9">
      <c r="A9" t="inlineStr">
        <is>
          <t>Aesthetics Month 12 Revenue</t>
        </is>
      </c>
      <c r="B9" s="5" t="n">
        <v>20000</v>
      </c>
      <c r="C9" s="5" t="n">
        <v>30000</v>
      </c>
      <c r="D9" s="5" t="n">
        <v>40000</v>
      </c>
    </row>
    <row r="12">
      <c r="A12" s="2" t="inlineStr">
        <is>
          <t>STAFFING STRUCTURE</t>
        </is>
      </c>
    </row>
    <row r="13">
      <c r="A13" s="3" t="inlineStr">
        <is>
          <t>Role</t>
        </is>
      </c>
      <c r="B13" s="3" t="inlineStr">
        <is>
          <t>Count</t>
        </is>
      </c>
      <c r="C13" s="3" t="inlineStr">
        <is>
          <t>Monthly Cost</t>
        </is>
      </c>
      <c r="D13" s="3" t="inlineStr">
        <is>
          <t>Notes</t>
        </is>
      </c>
    </row>
    <row r="14">
      <c r="A14" t="inlineStr">
        <is>
          <t>SPA</t>
        </is>
      </c>
    </row>
    <row r="15">
      <c r="A15" t="inlineStr">
        <is>
          <t xml:space="preserve">  Spa Manager</t>
        </is>
      </c>
      <c r="B15" t="n">
        <v>1</v>
      </c>
      <c r="C15" s="5" t="n">
        <v>2500</v>
      </c>
    </row>
    <row r="16">
      <c r="A16" t="inlineStr">
        <is>
          <t xml:space="preserve">  Receptionists</t>
        </is>
      </c>
      <c r="B16" t="n">
        <v>2</v>
      </c>
      <c r="C16" s="5" t="n">
        <v>1200</v>
      </c>
      <c r="D16" t="inlineStr">
        <is>
          <t>Per person</t>
        </is>
      </c>
    </row>
    <row r="17">
      <c r="A17" t="inlineStr">
        <is>
          <t xml:space="preserve">  Therapists</t>
        </is>
      </c>
      <c r="B17" t="n">
        <v>5</v>
      </c>
      <c r="C17" s="5" t="n">
        <v>1800</v>
      </c>
      <c r="D17" t="inlineStr">
        <is>
          <t>Per person</t>
        </is>
      </c>
    </row>
    <row r="18"/>
    <row r="19">
      <c r="A19" t="inlineStr">
        <is>
          <t>CLINIC/AESTHETICS</t>
        </is>
      </c>
    </row>
    <row r="20">
      <c r="A20" t="inlineStr">
        <is>
          <t xml:space="preserve">  Medical Nurse</t>
        </is>
      </c>
      <c r="B20" t="n">
        <v>1</v>
      </c>
      <c r="C20" s="5" t="n">
        <v>5500</v>
      </c>
    </row>
    <row r="21">
      <c r="A21" t="inlineStr">
        <is>
          <t xml:space="preserve">  Aesthetics Therapists</t>
        </is>
      </c>
      <c r="B21" t="n">
        <v>2</v>
      </c>
      <c r="C21" s="5" t="n">
        <v>2000</v>
      </c>
      <c r="D21" t="inlineStr">
        <is>
          <t>Base salary</t>
        </is>
      </c>
    </row>
    <row r="22">
      <c r="A22" t="inlineStr">
        <is>
          <t xml:space="preserve">  Revenue Share</t>
        </is>
      </c>
      <c r="D22" t="inlineStr">
        <is>
          <t>5% of clinic revenue</t>
        </is>
      </c>
    </row>
    <row r="25">
      <c r="A25" s="2" t="inlineStr">
        <is>
          <t>OPERATING COSTS (MONTHLY)</t>
        </is>
      </c>
    </row>
    <row r="26">
      <c r="A26" s="3" t="inlineStr">
        <is>
          <t>Cost Category</t>
        </is>
      </c>
      <c r="B26" s="3" t="inlineStr">
        <is>
          <t>Amount</t>
        </is>
      </c>
      <c r="C26" s="3" t="inlineStr">
        <is>
          <t>Type</t>
        </is>
      </c>
      <c r="D26" s="3" t="inlineStr">
        <is>
          <t>Notes</t>
        </is>
      </c>
    </row>
    <row r="27">
      <c r="A27" t="inlineStr">
        <is>
          <t>FACILITIES</t>
        </is>
      </c>
    </row>
    <row r="28">
      <c r="A28" t="inlineStr">
        <is>
          <t xml:space="preserve">  Rent</t>
        </is>
      </c>
      <c r="B28" s="5" t="n">
        <v>5000</v>
      </c>
      <c r="C28" t="inlineStr">
        <is>
          <t>Fixed</t>
        </is>
      </c>
    </row>
    <row r="29">
      <c r="A29" t="inlineStr">
        <is>
          <t xml:space="preserve">  Utilities</t>
        </is>
      </c>
      <c r="B29" s="5" t="n">
        <v>500</v>
      </c>
      <c r="C29" t="inlineStr">
        <is>
          <t>Fixed</t>
        </is>
      </c>
    </row>
    <row r="30">
      <c r="A30" t="inlineStr">
        <is>
          <t xml:space="preserve">  Maintenance &amp; Repairs</t>
        </is>
      </c>
      <c r="B30" s="5" t="n">
        <v>300</v>
      </c>
      <c r="C30" t="inlineStr">
        <is>
          <t>Fixed</t>
        </is>
      </c>
    </row>
    <row r="31">
      <c r="A31" t="inlineStr">
        <is>
          <t xml:space="preserve">  Cleaning &amp; Laundry</t>
        </is>
      </c>
      <c r="B31" s="5" t="n">
        <v>400</v>
      </c>
      <c r="C31" t="inlineStr">
        <is>
          <t>Fixed</t>
        </is>
      </c>
    </row>
    <row r="32"/>
    <row r="33">
      <c r="A33" t="inlineStr">
        <is>
          <t>SUPPLIES</t>
        </is>
      </c>
    </row>
    <row r="34">
      <c r="A34" t="inlineStr">
        <is>
          <t xml:space="preserve">  Spa Consumables</t>
        </is>
      </c>
      <c r="B34" t="inlineStr">
        <is>
          <t>3%</t>
        </is>
      </c>
      <c r="C34" t="inlineStr">
        <is>
          <t>Variable</t>
        </is>
      </c>
      <c r="D34" t="inlineStr">
        <is>
          <t>of spa revenue</t>
        </is>
      </c>
    </row>
    <row r="35">
      <c r="A35" t="inlineStr">
        <is>
          <t xml:space="preserve">  Aesthetic Supplies</t>
        </is>
      </c>
      <c r="B35" t="inlineStr">
        <is>
          <t>3%</t>
        </is>
      </c>
      <c r="C35" t="inlineStr">
        <is>
          <t>Variable</t>
        </is>
      </c>
      <c r="D35" t="inlineStr">
        <is>
          <t>of aesthetic revenue</t>
        </is>
      </c>
    </row>
    <row r="36"/>
    <row r="37">
      <c r="A37" t="inlineStr">
        <is>
          <t>MARKETING &amp; CUSTOMER ACQUISITION</t>
        </is>
      </c>
    </row>
    <row r="38">
      <c r="A38" t="inlineStr">
        <is>
          <t xml:space="preserve">  Hotel Partnership Commission</t>
        </is>
      </c>
      <c r="B38" t="inlineStr">
        <is>
          <t>5%</t>
        </is>
      </c>
      <c r="C38" t="inlineStr">
        <is>
          <t>Variable</t>
        </is>
      </c>
      <c r="D38" t="inlineStr">
        <is>
          <t>of spa revenue</t>
        </is>
      </c>
    </row>
    <row r="39"/>
    <row r="40">
      <c r="A40" t="inlineStr">
        <is>
          <t>SYSTEMS &amp; OPERATIONS</t>
        </is>
      </c>
    </row>
    <row r="41">
      <c r="A41" t="inlineStr">
        <is>
          <t xml:space="preserve">  Internet &amp; Telephone</t>
        </is>
      </c>
      <c r="B41" s="5" t="n">
        <v>300</v>
      </c>
      <c r="C41" t="inlineStr">
        <is>
          <t>Fixed</t>
        </is>
      </c>
    </row>
    <row r="42">
      <c r="A42" t="inlineStr">
        <is>
          <t xml:space="preserve">  CRM/Booking System</t>
        </is>
      </c>
      <c r="B42" s="5" t="n">
        <v>80</v>
      </c>
      <c r="C42" t="inlineStr">
        <is>
          <t>Fixed</t>
        </is>
      </c>
    </row>
    <row r="43">
      <c r="A43" t="inlineStr">
        <is>
          <t xml:space="preserve">  Point of Sale</t>
        </is>
      </c>
      <c r="B43" s="5" t="n">
        <v>80</v>
      </c>
      <c r="C43" t="inlineStr">
        <is>
          <t>Fixed</t>
        </is>
      </c>
    </row>
    <row r="44"/>
    <row r="45">
      <c r="A45" t="inlineStr">
        <is>
          <t>PROFESSIONAL SERVICES</t>
        </is>
      </c>
    </row>
    <row r="46">
      <c r="A46" t="inlineStr">
        <is>
          <t xml:space="preserve">  Accounting &amp; Bookkeeping</t>
        </is>
      </c>
      <c r="B46" s="5" t="n">
        <v>400</v>
      </c>
      <c r="C46" t="inlineStr">
        <is>
          <t>Fixed</t>
        </is>
      </c>
      <c r="D46" t="inlineStr">
        <is>
          <t>Combined</t>
        </is>
      </c>
    </row>
    <row r="47"/>
    <row r="48">
      <c r="A48" t="inlineStr">
        <is>
          <t>CONTINGENCY BUFFER</t>
        </is>
      </c>
      <c r="B48" t="inlineStr">
        <is>
          <t>2%</t>
        </is>
      </c>
      <c r="C48" t="inlineStr">
        <is>
          <t>Variable</t>
        </is>
      </c>
      <c r="D48" t="inlineStr">
        <is>
          <t>of total revenue</t>
        </is>
      </c>
    </row>
    <row r="50">
      <c r="A50" t="inlineStr">
        <is>
          <t>Total Fixed Costs (monthly)</t>
        </is>
      </c>
      <c r="B50" s="6" t="n">
        <v>7060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12-MONTH P&amp;L PROJECTION (BASE CASE - WITH SEASONALITY)</t>
        </is>
      </c>
    </row>
    <row r="2">
      <c r="A2" s="3" t="inlineStr">
        <is>
          <t>Month</t>
        </is>
      </c>
      <c r="B2" s="3" t="inlineStr">
        <is>
          <t>M1</t>
        </is>
      </c>
      <c r="C2" s="3" t="inlineStr">
        <is>
          <t>M2</t>
        </is>
      </c>
      <c r="D2" s="3" t="inlineStr">
        <is>
          <t>M3</t>
        </is>
      </c>
      <c r="E2" s="3" t="inlineStr">
        <is>
          <t>M4</t>
        </is>
      </c>
      <c r="F2" s="3" t="inlineStr">
        <is>
          <t>M5</t>
        </is>
      </c>
      <c r="G2" s="3" t="inlineStr">
        <is>
          <t>M6</t>
        </is>
      </c>
      <c r="H2" s="3" t="inlineStr">
        <is>
          <t>M7</t>
        </is>
      </c>
      <c r="I2" s="3" t="inlineStr">
        <is>
          <t>M8</t>
        </is>
      </c>
      <c r="J2" s="3" t="inlineStr">
        <is>
          <t>M9</t>
        </is>
      </c>
      <c r="K2" s="3" t="inlineStr">
        <is>
          <t>M10</t>
        </is>
      </c>
      <c r="L2" s="3" t="inlineStr">
        <is>
          <t>M11</t>
        </is>
      </c>
      <c r="M2" s="3" t="inlineStr">
        <is>
          <t>M12</t>
        </is>
      </c>
    </row>
    <row r="3">
      <c r="A3" s="7" t="inlineStr">
        <is>
          <t>REVENUE</t>
        </is>
      </c>
    </row>
    <row r="4">
      <c r="A4" t="inlineStr">
        <is>
          <t>Spa Revenue</t>
        </is>
      </c>
      <c r="B4" s="5" t="n">
        <v>24000</v>
      </c>
      <c r="C4" s="5" t="n">
        <v>28000</v>
      </c>
      <c r="D4" s="5" t="n">
        <v>32000</v>
      </c>
      <c r="E4" s="5" t="n">
        <v>33000</v>
      </c>
      <c r="F4" s="5" t="n">
        <v>31000</v>
      </c>
      <c r="G4" s="5" t="n">
        <v>34000</v>
      </c>
      <c r="H4" s="5" t="n">
        <v>37000</v>
      </c>
      <c r="I4" s="5" t="n">
        <v>43000</v>
      </c>
      <c r="J4" s="5" t="n">
        <v>42000</v>
      </c>
      <c r="K4" s="5" t="n">
        <v>40000</v>
      </c>
      <c r="L4" s="5" t="n">
        <v>36000</v>
      </c>
      <c r="M4" s="5" t="n">
        <v>38000</v>
      </c>
    </row>
    <row r="5">
      <c r="A5" t="inlineStr">
        <is>
          <t>Aesthetics Revenue</t>
        </is>
      </c>
      <c r="B5" s="5" t="n">
        <v>0</v>
      </c>
      <c r="C5" s="5" t="n">
        <v>0</v>
      </c>
      <c r="D5" s="5" t="n">
        <v>10000</v>
      </c>
      <c r="E5" s="5" t="n">
        <v>15000</v>
      </c>
      <c r="F5" s="5" t="n">
        <v>18000</v>
      </c>
      <c r="G5" s="5" t="n">
        <v>20000</v>
      </c>
      <c r="H5" s="5" t="n">
        <v>21000</v>
      </c>
      <c r="I5" s="5" t="n">
        <v>23000</v>
      </c>
      <c r="J5" s="5" t="n">
        <v>24000</v>
      </c>
      <c r="K5" s="5" t="n">
        <v>25000</v>
      </c>
      <c r="L5" s="5" t="n">
        <v>27000</v>
      </c>
      <c r="M5" s="5" t="n">
        <v>30000</v>
      </c>
    </row>
    <row r="6">
      <c r="A6" s="8" t="inlineStr">
        <is>
          <t>Total Revenue</t>
        </is>
      </c>
      <c r="B6" s="6">
        <f>B4+B5</f>
        <v/>
      </c>
      <c r="C6" s="6">
        <f>C4+C5</f>
        <v/>
      </c>
      <c r="D6" s="6">
        <f>D4+D5</f>
        <v/>
      </c>
      <c r="E6" s="6">
        <f>E4+E5</f>
        <v/>
      </c>
      <c r="F6" s="6">
        <f>F4+F5</f>
        <v/>
      </c>
      <c r="G6" s="6">
        <f>G4+G5</f>
        <v/>
      </c>
      <c r="H6" s="6">
        <f>H4+H5</f>
        <v/>
      </c>
      <c r="I6" s="6">
        <f>I4+I5</f>
        <v/>
      </c>
      <c r="J6" s="6">
        <f>J4+J5</f>
        <v/>
      </c>
      <c r="K6" s="6">
        <f>K4+K5</f>
        <v/>
      </c>
      <c r="L6" s="6">
        <f>L4+L5</f>
        <v/>
      </c>
      <c r="M6" s="6">
        <f>M4+M5</f>
        <v/>
      </c>
    </row>
    <row r="8">
      <c r="A8" s="7" t="inlineStr">
        <is>
          <t>OPERATING COSTS</t>
        </is>
      </c>
    </row>
    <row r="9">
      <c r="A9" t="inlineStr">
        <is>
          <t>Fixed Costs</t>
        </is>
      </c>
      <c r="B9" s="5" t="n">
        <v>7060</v>
      </c>
      <c r="C9" s="5" t="n">
        <v>7060</v>
      </c>
      <c r="D9" s="5" t="n">
        <v>7060</v>
      </c>
      <c r="E9" s="5" t="n">
        <v>7060</v>
      </c>
      <c r="F9" s="5" t="n">
        <v>7060</v>
      </c>
      <c r="G9" s="5" t="n">
        <v>7060</v>
      </c>
      <c r="H9" s="5" t="n">
        <v>7060</v>
      </c>
      <c r="I9" s="5" t="n">
        <v>7060</v>
      </c>
      <c r="J9" s="5" t="n">
        <v>7060</v>
      </c>
      <c r="K9" s="5" t="n">
        <v>7060</v>
      </c>
      <c r="L9" s="5" t="n">
        <v>7060</v>
      </c>
      <c r="M9" s="5" t="n">
        <v>7060</v>
      </c>
    </row>
    <row r="10">
      <c r="A10" t="inlineStr">
        <is>
          <t>Spa Consumables (3%)</t>
        </is>
      </c>
      <c r="B10" s="5">
        <f>B4*0.03</f>
        <v/>
      </c>
      <c r="C10" s="5">
        <f>C4*0.03</f>
        <v/>
      </c>
      <c r="D10" s="5">
        <f>D4*0.03</f>
        <v/>
      </c>
      <c r="E10" s="5">
        <f>E4*0.03</f>
        <v/>
      </c>
      <c r="F10" s="5">
        <f>F4*0.03</f>
        <v/>
      </c>
      <c r="G10" s="5">
        <f>G4*0.03</f>
        <v/>
      </c>
      <c r="H10" s="5">
        <f>H4*0.03</f>
        <v/>
      </c>
      <c r="I10" s="5">
        <f>I4*0.03</f>
        <v/>
      </c>
      <c r="J10" s="5">
        <f>J4*0.03</f>
        <v/>
      </c>
      <c r="K10" s="5">
        <f>K4*0.03</f>
        <v/>
      </c>
      <c r="L10" s="5">
        <f>L4*0.03</f>
        <v/>
      </c>
      <c r="M10" s="5">
        <f>M4*0.03</f>
        <v/>
      </c>
    </row>
    <row r="11">
      <c r="A11" t="inlineStr">
        <is>
          <t>Aesthetic Supplies (3%)</t>
        </is>
      </c>
      <c r="B11" s="5">
        <f>B5*0.03</f>
        <v/>
      </c>
      <c r="C11" s="5">
        <f>C5*0.03</f>
        <v/>
      </c>
      <c r="D11" s="5">
        <f>D5*0.03</f>
        <v/>
      </c>
      <c r="E11" s="5">
        <f>E5*0.03</f>
        <v/>
      </c>
      <c r="F11" s="5">
        <f>F5*0.03</f>
        <v/>
      </c>
      <c r="G11" s="5">
        <f>G5*0.03</f>
        <v/>
      </c>
      <c r="H11" s="5">
        <f>H5*0.03</f>
        <v/>
      </c>
      <c r="I11" s="5">
        <f>I5*0.03</f>
        <v/>
      </c>
      <c r="J11" s="5">
        <f>J5*0.03</f>
        <v/>
      </c>
      <c r="K11" s="5">
        <f>K5*0.03</f>
        <v/>
      </c>
      <c r="L11" s="5">
        <f>L5*0.03</f>
        <v/>
      </c>
      <c r="M11" s="5">
        <f>M5*0.03</f>
        <v/>
      </c>
    </row>
    <row r="12">
      <c r="A12" t="inlineStr">
        <is>
          <t>Hotel Partnership (5% Spa)</t>
        </is>
      </c>
      <c r="B12" s="5">
        <f>B4*0.05</f>
        <v/>
      </c>
      <c r="C12" s="5">
        <f>C4*0.05</f>
        <v/>
      </c>
      <c r="D12" s="5">
        <f>D4*0.05</f>
        <v/>
      </c>
      <c r="E12" s="5">
        <f>E4*0.05</f>
        <v/>
      </c>
      <c r="F12" s="5">
        <f>F4*0.05</f>
        <v/>
      </c>
      <c r="G12" s="5">
        <f>G4*0.05</f>
        <v/>
      </c>
      <c r="H12" s="5">
        <f>H4*0.05</f>
        <v/>
      </c>
      <c r="I12" s="5">
        <f>I4*0.05</f>
        <v/>
      </c>
      <c r="J12" s="5">
        <f>J4*0.05</f>
        <v/>
      </c>
      <c r="K12" s="5">
        <f>K4*0.05</f>
        <v/>
      </c>
      <c r="L12" s="5">
        <f>L4*0.05</f>
        <v/>
      </c>
      <c r="M12" s="5">
        <f>M4*0.05</f>
        <v/>
      </c>
    </row>
    <row r="13">
      <c r="A13" t="inlineStr">
        <is>
          <t>Contingency (2% Total)</t>
        </is>
      </c>
      <c r="B13" s="5">
        <f>B6*0.02</f>
        <v/>
      </c>
      <c r="C13" s="5">
        <f>C6*0.02</f>
        <v/>
      </c>
      <c r="D13" s="5">
        <f>D6*0.02</f>
        <v/>
      </c>
      <c r="E13" s="5">
        <f>E6*0.02</f>
        <v/>
      </c>
      <c r="F13" s="5">
        <f>F6*0.02</f>
        <v/>
      </c>
      <c r="G13" s="5">
        <f>G6*0.02</f>
        <v/>
      </c>
      <c r="H13" s="5">
        <f>H6*0.02</f>
        <v/>
      </c>
      <c r="I13" s="5">
        <f>I6*0.02</f>
        <v/>
      </c>
      <c r="J13" s="5">
        <f>J6*0.02</f>
        <v/>
      </c>
      <c r="K13" s="5">
        <f>K6*0.02</f>
        <v/>
      </c>
      <c r="L13" s="5">
        <f>L6*0.02</f>
        <v/>
      </c>
      <c r="M13" s="5">
        <f>M6*0.02</f>
        <v/>
      </c>
    </row>
    <row r="14">
      <c r="A14" s="8" t="inlineStr">
        <is>
          <t>Total Variable Costs</t>
        </is>
      </c>
      <c r="B14" s="6">
        <f>B10+B11+B12+B13</f>
        <v/>
      </c>
      <c r="C14" s="6">
        <f>C10+C11+C12+C13</f>
        <v/>
      </c>
      <c r="D14" s="6">
        <f>D10+D11+D12+D13</f>
        <v/>
      </c>
      <c r="E14" s="6">
        <f>E10+E11+E12+E13</f>
        <v/>
      </c>
      <c r="F14" s="6">
        <f>F10+F11+F12+F13</f>
        <v/>
      </c>
      <c r="G14" s="6">
        <f>G10+G11+G12+G13</f>
        <v/>
      </c>
      <c r="H14" s="6">
        <f>H10+H11+H12+H13</f>
        <v/>
      </c>
      <c r="I14" s="6">
        <f>I10+I11+I12+I13</f>
        <v/>
      </c>
      <c r="J14" s="6">
        <f>J10+J11+J12+J13</f>
        <v/>
      </c>
      <c r="K14" s="6">
        <f>K10+K11+K12+K13</f>
        <v/>
      </c>
      <c r="L14" s="6">
        <f>L10+L11+L12+L13</f>
        <v/>
      </c>
      <c r="M14" s="6">
        <f>M10+M11+M12+M13</f>
        <v/>
      </c>
    </row>
    <row r="15">
      <c r="A15" s="8" t="inlineStr">
        <is>
          <t>TOTAL OPERATING COSTS</t>
        </is>
      </c>
      <c r="B15" s="6">
        <f>B9+B14</f>
        <v/>
      </c>
      <c r="C15" s="6">
        <f>C9+C14</f>
        <v/>
      </c>
      <c r="D15" s="6">
        <f>D9+D14</f>
        <v/>
      </c>
      <c r="E15" s="6">
        <f>E9+E14</f>
        <v/>
      </c>
      <c r="F15" s="6">
        <f>F9+F14</f>
        <v/>
      </c>
      <c r="G15" s="6">
        <f>G9+G14</f>
        <v/>
      </c>
      <c r="H15" s="6">
        <f>H9+H14</f>
        <v/>
      </c>
      <c r="I15" s="6">
        <f>I9+I14</f>
        <v/>
      </c>
      <c r="J15" s="6">
        <f>J9+J14</f>
        <v/>
      </c>
      <c r="K15" s="6">
        <f>K9+K14</f>
        <v/>
      </c>
      <c r="L15" s="6">
        <f>L9+L14</f>
        <v/>
      </c>
      <c r="M15" s="6">
        <f>M9+M14</f>
        <v/>
      </c>
    </row>
    <row r="17">
      <c r="A17" s="7" t="inlineStr">
        <is>
          <t>PAYROLL</t>
        </is>
      </c>
    </row>
    <row r="18">
      <c r="A18" t="inlineStr">
        <is>
          <t>Spa Payroll</t>
        </is>
      </c>
      <c r="B18" s="5" t="n">
        <v>13900</v>
      </c>
      <c r="C18" s="5" t="n">
        <v>13900</v>
      </c>
      <c r="D18" s="5" t="n">
        <v>13900</v>
      </c>
      <c r="E18" s="5" t="n">
        <v>13900</v>
      </c>
      <c r="F18" s="5" t="n">
        <v>13900</v>
      </c>
      <c r="G18" s="5" t="n">
        <v>13900</v>
      </c>
      <c r="H18" s="5" t="n">
        <v>13900</v>
      </c>
      <c r="I18" s="5" t="n">
        <v>13900</v>
      </c>
      <c r="J18" s="5" t="n">
        <v>13900</v>
      </c>
      <c r="K18" s="5" t="n">
        <v>13900</v>
      </c>
      <c r="L18" s="5" t="n">
        <v>13900</v>
      </c>
      <c r="M18" s="5" t="n">
        <v>13900</v>
      </c>
    </row>
    <row r="19">
      <c r="A19" t="inlineStr">
        <is>
          <t>Clinic Base Payroll</t>
        </is>
      </c>
      <c r="B19" s="5" t="n">
        <v>9500</v>
      </c>
      <c r="C19" s="5" t="n">
        <v>9500</v>
      </c>
      <c r="D19" s="5" t="n">
        <v>9500</v>
      </c>
      <c r="E19" s="5" t="n">
        <v>9500</v>
      </c>
      <c r="F19" s="5" t="n">
        <v>9500</v>
      </c>
      <c r="G19" s="5" t="n">
        <v>9500</v>
      </c>
      <c r="H19" s="5" t="n">
        <v>9500</v>
      </c>
      <c r="I19" s="5" t="n">
        <v>9500</v>
      </c>
      <c r="J19" s="5" t="n">
        <v>9500</v>
      </c>
      <c r="K19" s="5" t="n">
        <v>9500</v>
      </c>
      <c r="L19" s="5" t="n">
        <v>9500</v>
      </c>
      <c r="M19" s="5" t="n">
        <v>9500</v>
      </c>
    </row>
    <row r="20">
      <c r="A20" t="inlineStr">
        <is>
          <t>Clinic Revenue Share (5%)</t>
        </is>
      </c>
      <c r="B20" s="5">
        <f>B5*0.05</f>
        <v/>
      </c>
      <c r="C20" s="5">
        <f>C5*0.05</f>
        <v/>
      </c>
      <c r="D20" s="5">
        <f>D5*0.05</f>
        <v/>
      </c>
      <c r="E20" s="5">
        <f>E5*0.05</f>
        <v/>
      </c>
      <c r="F20" s="5">
        <f>F5*0.05</f>
        <v/>
      </c>
      <c r="G20" s="5">
        <f>G5*0.05</f>
        <v/>
      </c>
      <c r="H20" s="5">
        <f>H5*0.05</f>
        <v/>
      </c>
      <c r="I20" s="5">
        <f>I5*0.05</f>
        <v/>
      </c>
      <c r="J20" s="5">
        <f>J5*0.05</f>
        <v/>
      </c>
      <c r="K20" s="5">
        <f>K5*0.05</f>
        <v/>
      </c>
      <c r="L20" s="5">
        <f>L5*0.05</f>
        <v/>
      </c>
      <c r="M20" s="5">
        <f>M5*0.05</f>
        <v/>
      </c>
    </row>
    <row r="21">
      <c r="A21" s="8" t="inlineStr">
        <is>
          <t>TOTAL PAYROLL</t>
        </is>
      </c>
      <c r="B21" s="6">
        <f>B18+B19+B20</f>
        <v/>
      </c>
      <c r="C21" s="6">
        <f>C18+C19+C20</f>
        <v/>
      </c>
      <c r="D21" s="6">
        <f>D18+D19+D20</f>
        <v/>
      </c>
      <c r="E21" s="6">
        <f>E18+E19+E20</f>
        <v/>
      </c>
      <c r="F21" s="6">
        <f>F18+F19+F20</f>
        <v/>
      </c>
      <c r="G21" s="6">
        <f>G18+G19+G20</f>
        <v/>
      </c>
      <c r="H21" s="6">
        <f>H18+H19+H20</f>
        <v/>
      </c>
      <c r="I21" s="6">
        <f>I18+I19+I20</f>
        <v/>
      </c>
      <c r="J21" s="6">
        <f>J18+J19+J20</f>
        <v/>
      </c>
      <c r="K21" s="6">
        <f>K18+K19+K20</f>
        <v/>
      </c>
      <c r="L21" s="6">
        <f>L18+L19+L20</f>
        <v/>
      </c>
      <c r="M21" s="6">
        <f>M18+M19+M20</f>
        <v/>
      </c>
    </row>
    <row r="23">
      <c r="A23" s="9" t="inlineStr">
        <is>
          <t>EBITDA</t>
        </is>
      </c>
      <c r="B23" s="10">
        <f>B6-B15-B21</f>
        <v/>
      </c>
      <c r="C23" s="10">
        <f>C6-C15-C21</f>
        <v/>
      </c>
      <c r="D23" s="10">
        <f>D6-D15-D21</f>
        <v/>
      </c>
      <c r="E23" s="10">
        <f>E6-E15-E21</f>
        <v/>
      </c>
      <c r="F23" s="10">
        <f>F6-F15-F21</f>
        <v/>
      </c>
      <c r="G23" s="10">
        <f>G6-G15-G21</f>
        <v/>
      </c>
      <c r="H23" s="10">
        <f>H6-H15-H21</f>
        <v/>
      </c>
      <c r="I23" s="10">
        <f>I6-I15-I21</f>
        <v/>
      </c>
      <c r="J23" s="10">
        <f>J6-J15-J21</f>
        <v/>
      </c>
      <c r="K23" s="10">
        <f>K6-K15-K21</f>
        <v/>
      </c>
      <c r="L23" s="10">
        <f>L6-L15-L21</f>
        <v/>
      </c>
      <c r="M23" s="10">
        <f>M6-M15-M21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ANNUAL SUMMARY &amp; KPIs (YEAR 1 - BASE CASE)</t>
        </is>
      </c>
    </row>
    <row r="3">
      <c r="A3" s="2" t="inlineStr">
        <is>
          <t>REVENUE SUMMARY</t>
        </is>
      </c>
    </row>
    <row r="4">
      <c r="A4" t="inlineStr">
        <is>
          <t>Spa Revenue (Year 1)</t>
        </is>
      </c>
      <c r="B4" s="5">
        <f>SUM('Monthly P&amp;L Model'!B4:M4)</f>
        <v/>
      </c>
    </row>
    <row r="5">
      <c r="A5" t="inlineStr">
        <is>
          <t>Aesthetics Revenue (Year 1)</t>
        </is>
      </c>
      <c r="B5" s="5">
        <f>SUM('Monthly P&amp;L Model'!B5:M5)</f>
        <v/>
      </c>
    </row>
    <row r="6">
      <c r="A6" t="inlineStr">
        <is>
          <t>Total Revenue (Year 1)</t>
        </is>
      </c>
      <c r="B6" s="6">
        <f>SUM('Monthly P&amp;L Model'!B6:M6)</f>
        <v/>
      </c>
    </row>
    <row r="8">
      <c r="A8" s="2" t="inlineStr">
        <is>
          <t>OPERATING SUMMARY</t>
        </is>
      </c>
    </row>
    <row r="9">
      <c r="A9" t="inlineStr">
        <is>
          <t>Total Operating Costs</t>
        </is>
      </c>
      <c r="B9" s="5">
        <f>SUM('Monthly P&amp;L Model'!B15:M15)</f>
        <v/>
      </c>
    </row>
    <row r="10">
      <c r="A10" t="inlineStr">
        <is>
          <t>Total Payroll</t>
        </is>
      </c>
      <c r="B10" s="5">
        <f>SUM('Monthly P&amp;L Model'!B21:M21)</f>
        <v/>
      </c>
    </row>
    <row r="11">
      <c r="A11" t="inlineStr">
        <is>
          <t>Year 1 EBITDA</t>
        </is>
      </c>
      <c r="B11" s="11">
        <f>SUM('Monthly P&amp;L Model'!B23:M23)</f>
        <v/>
      </c>
    </row>
    <row r="13">
      <c r="A13" s="2" t="inlineStr">
        <is>
          <t>KEY PERFORMANCE INDICATORS</t>
        </is>
      </c>
    </row>
    <row r="14">
      <c r="A14" t="inlineStr">
        <is>
          <t>EBITDA Margin</t>
        </is>
      </c>
      <c r="B14" s="4">
        <f>B11/B6</f>
        <v/>
      </c>
    </row>
    <row r="15">
      <c r="A15" t="inlineStr">
        <is>
          <t>Payroll % of Revenue</t>
        </is>
      </c>
      <c r="B15" s="4">
        <f>B10/B6</f>
        <v/>
      </c>
    </row>
    <row r="16">
      <c r="A16" t="inlineStr">
        <is>
          <t>OpEx % of Revenue</t>
        </is>
      </c>
      <c r="B16" s="4">
        <f>B9/B6</f>
        <v/>
      </c>
    </row>
    <row r="18">
      <c r="A18" t="inlineStr">
        <is>
          <t>Payroll Breakdown</t>
        </is>
      </c>
    </row>
    <row r="19">
      <c r="A19" t="inlineStr">
        <is>
          <t>Spa Payroll (Annual)</t>
        </is>
      </c>
      <c r="B19" s="5">
        <f>SUM('Monthly P&amp;L Model'!B18:M18)</f>
        <v/>
      </c>
    </row>
    <row r="20">
      <c r="A20" t="inlineStr">
        <is>
          <t>Clinic Base (Annual)</t>
        </is>
      </c>
      <c r="B20" s="5">
        <f>SUM('Monthly P&amp;L Model'!B19:M19)</f>
        <v/>
      </c>
    </row>
    <row r="21">
      <c r="A21" t="inlineStr">
        <is>
          <t>Revenue Share (Annual)</t>
        </is>
      </c>
      <c r="B21" s="5">
        <f>SUM('Monthly P&amp;L Model'!B20:M20)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2026-02-22T05:41:44Z</dcterms:created>
  <dcterms:modified xsi:type="dcterms:W3CDTF">2026-02-22T05:46:38Z</dcterms:modified>
</cp:coreProperties>
</file>