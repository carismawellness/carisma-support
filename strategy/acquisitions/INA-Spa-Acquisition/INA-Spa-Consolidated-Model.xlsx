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gotiation &amp; Key Considerations" sheetId="1" state="visible" r:id="rId1"/>
    <sheet name="Assumptions &amp; Staffing" sheetId="2" state="visible" r:id="rId2"/>
    <sheet name="Monthly P&amp;L Model" sheetId="3" state="visible" r:id="rId3"/>
    <sheet name="Annual Summary &amp; KPIs" sheetId="4" state="visible" r:id="rId4"/>
  </sheets>
  <definedNames/>
  <calcPr calcId="124519" fullCalcOnLoad="1"/>
</workbook>
</file>

<file path=xl/styles.xml><?xml version="1.0" encoding="utf-8"?>
<styleSheet xmlns="http://schemas.openxmlformats.org/spreadsheetml/2006/main">
  <numFmts count="2">
    <numFmt numFmtId="164" formatCode="€#,##0.00"/>
    <numFmt numFmtId="165" formatCode="0.0%"/>
  </numFmts>
  <fonts count="10">
    <font>
      <name val="Calibri"/>
      <family val="2"/>
      <color theme="1"/>
      <sz val="11"/>
      <scheme val="minor"/>
    </font>
    <font>
      <b val="1"/>
      <color rgb="00FFFFFF"/>
      <sz val="13"/>
    </font>
    <font>
      <b val="1"/>
      <sz val="10"/>
    </font>
    <font>
      <b val="1"/>
      <color rgb="00FFFFFF"/>
      <sz val="11"/>
    </font>
    <font>
      <b val="1"/>
      <color rgb="00FFFFFF"/>
      <sz val="12"/>
    </font>
    <font>
      <b val="1"/>
    </font>
    <font>
      <b val="1"/>
      <sz val="11"/>
    </font>
    <font>
      <b val="1"/>
      <color rgb="00FFFFFF"/>
      <sz val="10"/>
    </font>
    <font>
      <b val="1"/>
      <sz val="9"/>
    </font>
    <font>
      <i val="1"/>
      <sz val="9"/>
    </font>
  </fonts>
  <fills count="11">
    <fill>
      <patternFill/>
    </fill>
    <fill>
      <patternFill patternType="gray125"/>
    </fill>
    <fill>
      <patternFill patternType="solid">
        <fgColor rgb="001F4E78"/>
        <bgColor rgb="001F4E78"/>
      </patternFill>
    </fill>
    <fill>
      <patternFill patternType="solid">
        <fgColor rgb="00D9E1F2"/>
        <bgColor rgb="00D9E1F2"/>
      </patternFill>
    </fill>
    <fill>
      <patternFill patternType="solid">
        <fgColor rgb="00E7E6E6"/>
        <bgColor rgb="00E7E6E6"/>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C55A11"/>
        <bgColor rgb="00C55A11"/>
      </patternFill>
    </fill>
    <fill>
      <patternFill patternType="solid">
        <fgColor rgb="00F4B084"/>
        <bgColor rgb="00F4B084"/>
      </patternFill>
    </fill>
    <fill>
      <patternFill patternType="solid">
        <fgColor rgb="00FFE699"/>
        <bgColor rgb="00FFE699"/>
      </patternFill>
    </fill>
  </fills>
  <borders count="1">
    <border>
      <left/>
      <right/>
      <top/>
      <bottom/>
      <diagonal/>
    </border>
  </borders>
  <cellStyleXfs count="1">
    <xf numFmtId="0" fontId="0" fillId="0" borderId="0"/>
  </cellStyleXfs>
  <cellXfs count="41">
    <xf numFmtId="0" fontId="0" fillId="0" borderId="0" pivotButton="0" quotePrefix="0" xfId="0"/>
    <xf numFmtId="0" fontId="1" fillId="2" borderId="0" pivotButton="0" quotePrefix="0" xfId="0"/>
    <xf numFmtId="0" fontId="2" fillId="3" borderId="0" pivotButton="0" quotePrefix="0" xfId="0"/>
    <xf numFmtId="0" fontId="3" fillId="2" borderId="0" applyAlignment="1" pivotButton="0" quotePrefix="0" xfId="0">
      <alignment horizontal="center" vertical="center" wrapText="1"/>
    </xf>
    <xf numFmtId="0" fontId="2" fillId="4" borderId="0" pivotButton="0" quotePrefix="0" xfId="0"/>
    <xf numFmtId="164" fontId="0" fillId="0" borderId="0" applyAlignment="1" pivotButton="0" quotePrefix="0" xfId="0">
      <alignment horizontal="center" vertical="center" wrapText="1"/>
    </xf>
    <xf numFmtId="3" fontId="0" fillId="0" borderId="0"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5" borderId="0" applyAlignment="1" pivotButton="0" quotePrefix="0" xfId="0">
      <alignment horizontal="center" vertical="center" wrapText="1"/>
    </xf>
    <xf numFmtId="0" fontId="2" fillId="6" borderId="0" pivotButton="0" quotePrefix="0" xfId="0"/>
    <xf numFmtId="0" fontId="2" fillId="0" borderId="0" pivotButton="0" quotePrefix="0" xfId="0"/>
    <xf numFmtId="0" fontId="0" fillId="0" borderId="0" applyAlignment="1" pivotButton="0" quotePrefix="0" xfId="0">
      <alignment horizontal="left" vertical="center" wrapText="1"/>
    </xf>
    <xf numFmtId="0" fontId="4" fillId="2" borderId="0" pivotButton="0" quotePrefix="0" xfId="0"/>
    <xf numFmtId="0" fontId="5" fillId="0" borderId="0" pivotButton="0" quotePrefix="0" xfId="0"/>
    <xf numFmtId="164" fontId="5" fillId="5" borderId="0" applyAlignment="1" pivotButton="0" quotePrefix="0" xfId="0">
      <alignment horizontal="center" vertical="center" wrapText="1"/>
    </xf>
    <xf numFmtId="164" fontId="5" fillId="0" borderId="0" applyAlignment="1" pivotButton="0" quotePrefix="0" xfId="0">
      <alignment horizontal="center" vertical="center" wrapText="1"/>
    </xf>
    <xf numFmtId="0" fontId="3" fillId="2" borderId="0" pivotButton="0" quotePrefix="0" xfId="0"/>
    <xf numFmtId="0" fontId="6" fillId="0" borderId="0" pivotButton="0" quotePrefix="0" xfId="0"/>
    <xf numFmtId="164" fontId="6" fillId="7" borderId="0" applyAlignment="1" pivotButton="0" quotePrefix="0" xfId="0">
      <alignment horizontal="center" vertical="center" wrapText="1"/>
    </xf>
    <xf numFmtId="164" fontId="6" fillId="5" borderId="0" applyAlignment="1" pivotButton="0" quotePrefix="0" xfId="0">
      <alignment horizontal="center" vertical="center" wrapText="1"/>
    </xf>
    <xf numFmtId="165" fontId="5" fillId="0" borderId="0" applyAlignment="1" pivotButton="0" quotePrefix="0" xfId="0">
      <alignment horizontal="center" vertical="center" wrapText="1"/>
    </xf>
    <xf numFmtId="0" fontId="5" fillId="6" borderId="0" pivotButton="0" quotePrefix="0" xfId="0"/>
    <xf numFmtId="164" fontId="5" fillId="6" borderId="0" applyAlignment="1" pivotButton="0" quotePrefix="0" xfId="0">
      <alignment horizontal="center" vertical="center" wrapText="1"/>
    </xf>
    <xf numFmtId="0" fontId="0" fillId="6" borderId="0" applyAlignment="1" pivotButton="0" quotePrefix="0" xfId="0">
      <alignment horizontal="left" vertical="center" wrapText="1"/>
    </xf>
    <xf numFmtId="0" fontId="1" fillId="8" borderId="0" pivotButton="0" quotePrefix="0" xfId="0"/>
    <xf numFmtId="0" fontId="2" fillId="9" borderId="0" pivotButton="0" quotePrefix="0" xfId="0"/>
    <xf numFmtId="0" fontId="0" fillId="0" borderId="0" applyAlignment="1" pivotButton="0" quotePrefix="0" xfId="0">
      <alignment horizontal="left" vertical="top" wrapText="1"/>
    </xf>
    <xf numFmtId="0" fontId="0" fillId="10" borderId="0" applyAlignment="1" pivotButton="0" quotePrefix="0" xfId="0">
      <alignment horizontal="center" vertical="center" wrapText="1"/>
    </xf>
    <xf numFmtId="0" fontId="0" fillId="7" borderId="0" applyAlignment="1" pivotButton="0" quotePrefix="0" xfId="0">
      <alignment horizontal="center" vertical="center" wrapText="1"/>
    </xf>
    <xf numFmtId="0" fontId="0" fillId="6" borderId="0" applyAlignment="1" pivotButton="0" quotePrefix="0" xfId="0">
      <alignment horizontal="center" vertical="center" wrapText="1"/>
    </xf>
    <xf numFmtId="0" fontId="0" fillId="5" borderId="0" applyAlignment="1" pivotButton="0" quotePrefix="0" xfId="0">
      <alignment horizontal="center" vertical="center" wrapText="1"/>
    </xf>
    <xf numFmtId="0" fontId="7" fillId="8" borderId="0" pivotButton="0" quotePrefix="0" xfId="0"/>
    <xf numFmtId="0" fontId="3" fillId="8" borderId="0"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vertical="center" wrapText="1"/>
    </xf>
    <xf numFmtId="0" fontId="9" fillId="0" borderId="0" applyAlignment="1" pivotButton="0" quotePrefix="0" xfId="0">
      <alignment horizontal="left" vertical="top" wrapText="1"/>
    </xf>
    <xf numFmtId="0" fontId="8" fillId="5" borderId="0" applyAlignment="1" pivotButton="0" quotePrefix="0" xfId="0">
      <alignment horizontal="center" vertical="center" wrapText="1"/>
    </xf>
    <xf numFmtId="0" fontId="8" fillId="7" borderId="0" pivotButton="0" quotePrefix="0" xfId="0"/>
    <xf numFmtId="0" fontId="8" fillId="7" borderId="0" applyAlignment="1" pivotButton="0" quotePrefix="0" xfId="0">
      <alignment horizontal="center" vertical="center" wrapText="1"/>
    </xf>
    <xf numFmtId="0" fontId="8"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02"/>
  <sheetViews>
    <sheetView workbookViewId="0">
      <selection activeCell="A1" sqref="A1"/>
    </sheetView>
  </sheetViews>
  <sheetFormatPr baseColWidth="8" defaultRowHeight="15"/>
  <cols>
    <col width="35" customWidth="1" min="1" max="1"/>
    <col width="50" customWidth="1" min="2" max="2"/>
    <col width="15" customWidth="1" min="3" max="3"/>
  </cols>
  <sheetData>
    <row r="1" ht="25" customHeight="1">
      <c r="A1" s="25" t="inlineStr">
        <is>
          <t>INA SPA ACQUISITION — NEGOTIATION STRATEGY &amp; KEY CONSIDERATIONS</t>
        </is>
      </c>
    </row>
    <row r="3">
      <c r="A3" s="26" t="inlineStr">
        <is>
          <t>SECTION 1: YOUR BATNA &amp; LEVERAGE POSITION</t>
        </is>
      </c>
    </row>
    <row r="4">
      <c r="A4" s="4" t="inlineStr">
        <is>
          <t>YOUR POSITION</t>
        </is>
      </c>
    </row>
    <row r="5">
      <c r="A5" t="inlineStr">
        <is>
          <t>You are evaluating, not desperate</t>
        </is>
      </c>
      <c r="B5" s="27" t="inlineStr">
        <is>
          <t>You have multiple acquisition options. This is one of many opportunities. Seller senses urgency; you do not. This asymmetry is your leverage.</t>
        </is>
      </c>
      <c r="C5" s="28" t="inlineStr">
        <is>
          <t>HIGH PRIORITY</t>
        </is>
      </c>
    </row>
    <row r="6">
      <c r="A6" t="inlineStr">
        <is>
          <t>Your BATNA (Best Alternative) is attractive</t>
        </is>
      </c>
      <c r="B6" s="27" t="inlineStr">
        <is>
          <t>You can build a greenfield spa for 200K or walk away and deploy capital elsewhere. Seller has no attractive alternative to accepting your offer.</t>
        </is>
      </c>
      <c r="C6" s="28" t="inlineStr">
        <is>
          <t>HIGH PRIORITY</t>
        </is>
      </c>
    </row>
    <row r="7">
      <c r="A7" t="inlineStr">
        <is>
          <t>Seller is losing money every month</t>
        </is>
      </c>
      <c r="B7" s="27" t="inlineStr">
        <is>
          <t>At current 22.5K revenue with ~8K rent, business is unprofitable. Seller bleeds 10-30K/month depending on actual costs. Every month that passes, seller losses accumulate.</t>
        </is>
      </c>
      <c r="C7" s="29" t="inlineStr">
        <is>
          <t>CRITICAL</t>
        </is>
      </c>
    </row>
    <row r="8">
      <c r="A8" t="inlineStr">
        <is>
          <t>Time is on your side</t>
        </is>
      </c>
      <c r="B8" s="27" t="inlineStr">
        <is>
          <t>The longer negotiation takes, the more cash seller loses. Seller wants a quick exit. You can afford to be patient.</t>
        </is>
      </c>
      <c r="C8" s="30" t="inlineStr">
        <is>
          <t>MEDIUM</t>
        </is>
      </c>
    </row>
    <row r="9">
      <c r="A9" t="inlineStr">
        <is>
          <t>Market conditions are not favorable</t>
        </is>
      </c>
      <c r="B9" s="27" t="inlineStr">
        <is>
          <t>Malta spa market is saturated (Numi, other competitors). Not a seller's market. You can afford to wait for better deals.</t>
        </is>
      </c>
      <c r="C9" s="30" t="inlineStr">
        <is>
          <t>MEDIUM</t>
        </is>
      </c>
    </row>
    <row r="12">
      <c r="A12" s="4" t="inlineStr">
        <is>
          <t>SELLER POSITION - WEAK (Why Seller Needs You More Than You Need Them)</t>
        </is>
      </c>
    </row>
    <row r="13">
      <c r="A13" t="inlineStr">
        <is>
          <t>Reached out to you first</t>
        </is>
      </c>
      <c r="B13" s="27" t="inlineStr">
        <is>
          <t>Seller initiated contact. This signals desperation. They have already decided to exit; now it is just price negotiation.</t>
        </is>
      </c>
      <c r="C13" s="31" t="inlineStr">
        <is>
          <t>Confirms weakness</t>
        </is>
      </c>
    </row>
    <row r="14">
      <c r="A14" t="inlineStr">
        <is>
          <t>Business is declining, not growing</t>
        </is>
      </c>
      <c r="B14" s="27" t="inlineStr">
        <is>
          <t>50% revenue drop from 40-50K to 22.5K over 2 years. Trend is down. Seller cannot fix this alone.</t>
        </is>
      </c>
      <c r="C14" s="31" t="inlineStr">
        <is>
          <t>Justifies discount</t>
        </is>
      </c>
    </row>
    <row r="15">
      <c r="A15" t="inlineStr">
        <is>
          <t>Owner appears burned out</t>
        </is>
      </c>
      <c r="B15" s="27" t="inlineStr">
        <is>
          <t>Owner managed business for 2 years and let it fail. Suggests owner is tired, ready to exit at reasonable price.</t>
        </is>
      </c>
      <c r="C15" s="31" t="inlineStr">
        <is>
          <t>Signals desperation</t>
        </is>
      </c>
    </row>
    <row r="16">
      <c r="A16" t="inlineStr">
        <is>
          <t>No other bidders visible</t>
        </is>
      </c>
      <c r="B16" s="27" t="inlineStr">
        <is>
          <t>If other serious buyers existed, seller would mention them. Silence suggests you are first credible offer.</t>
        </is>
      </c>
      <c r="C16" s="31" t="inlineStr">
        <is>
          <t>Eliminates competitive pressure</t>
        </is>
      </c>
    </row>
    <row r="17">
      <c r="A17" t="inlineStr">
        <is>
          <t>Seller invested 1M and wants full recovery</t>
        </is>
      </c>
      <c r="B17" s="27" t="inlineStr">
        <is>
          <t>Seller sunk 1M into fit-out but that money is gone. Seller might anchor at 50% recovery (500K) but will settle much lower.</t>
        </is>
      </c>
      <c r="C17" s="31" t="inlineStr">
        <is>
          <t>Manage expectations</t>
        </is>
      </c>
    </row>
    <row r="20">
      <c r="A20" s="26" t="inlineStr">
        <is>
          <t>SECTION 2: KEY ARGUMENTS FOR LOWER PRICING</t>
        </is>
      </c>
    </row>
    <row r="21">
      <c r="A21" s="32" t="inlineStr">
        <is>
          <t>CATEGORY</t>
        </is>
      </c>
      <c r="B21" s="32" t="inlineStr">
        <is>
          <t>ARGUMENT &amp; DETAIL</t>
        </is>
      </c>
      <c r="C21" s="32" t="inlineStr">
        <is>
          <t>IMPACT</t>
        </is>
      </c>
    </row>
    <row r="22">
      <c r="A22" t="inlineStr">
        <is>
          <t>1. SMALL HOTEL MARKET</t>
        </is>
      </c>
      <c r="B22" s="27" t="inlineStr">
        <is>
          <t>The 150-room hotel has only 200-300 guest turnover/week (peak). That is your primary customer base. Even at 50% spa bookings, that is 100-150 treatments/week. But: (1) seasonality means off-season is 40-50% lower, (2) tourists have low repeat rate, (3) you still need local customers. Heavy hotel dependency = high risk. A downturn in tourism or the hotel itself creates immediate revenue collapse.</t>
        </is>
      </c>
      <c r="C22" s="28" t="inlineStr">
        <is>
          <t>MAJOR</t>
        </is>
      </c>
    </row>
    <row r="23">
      <c r="A23" t="inlineStr">
        <is>
          <t>2. LOCAL MARKET WEAKNESS</t>
        </is>
      </c>
      <c r="B23" s="27" t="inlineStr">
        <is>
          <t>Revenue declined 50% despite 2 years of operation. This was NOT just operator error - it suggests local market demand is fundamentally weaker than projected. If local market was strong, a competent operator would have grown it. That you see weakness suggests there is a ceiling. Price should reflect this market uncertainty.</t>
        </is>
      </c>
      <c r="C23" s="28" t="inlineStr">
        <is>
          <t>MAJOR</t>
        </is>
      </c>
    </row>
    <row r="24">
      <c r="A24" t="inlineStr">
        <is>
          <t>3. SEASONALITY VOLATILITY</t>
        </is>
      </c>
      <c r="B24" s="27" t="inlineStr">
        <is>
          <t>Malta is tourism-dependent with peak June-August (3 months). Q1/Q2/Q4 are softer. Your 60K/month target assumes year-round. Reality: summer 75K+, winter 45K. This volatility increases cash flow risk and reduces valuation. Lower price compensates for volatility.</t>
        </is>
      </c>
      <c r="C24" s="30" t="inlineStr">
        <is>
          <t>MEDIUM</t>
        </is>
      </c>
    </row>
    <row r="25">
      <c r="A25" t="inlineStr">
        <is>
          <t>4. REVENUE DECLINE UNDIAGNOSED</t>
        </is>
      </c>
      <c r="B25" s="27" t="inlineStr">
        <is>
          <t>Revenue fell from 40-50K to 22.5K. Root cause is unknown: Numi separation loss? Competitor pressure? Pricing too high? Service quality? Market shift? UNTIL ROOT CAUSE IS DIAGNOSED, you cannot assume it is fixable. Price reflects this diagnosis risk.</t>
        </is>
      </c>
      <c r="C25" s="28" t="inlineStr">
        <is>
          <t>MAJOR</t>
        </is>
      </c>
    </row>
    <row r="26">
      <c r="A26" t="inlineStr">
        <is>
          <t>5. CUSTOMER RETENTION UNKNOWN</t>
        </is>
      </c>
      <c r="B26" s="27" t="inlineStr">
        <is>
          <t>If top 20 customers = 50% of revenue and they left when Numi separated, customer base is fragile. If repeat rate is only 30% (vs. industry 60%), loyalty is weak. Either scenario = acquisition thesis is shakier. Price lower to reflect customer stickiness risk.</t>
        </is>
      </c>
      <c r="C26" s="28" t="inlineStr">
        <is>
          <t>MAJOR</t>
        </is>
      </c>
    </row>
    <row r="27">
      <c r="A27" t="inlineStr">
        <is>
          <t>6. MEDICAL CLINIC LICENSING RISK</t>
        </is>
      </c>
      <c r="B27" s="27" t="inlineStr">
        <is>
          <t>Clinic launch planned Month 4 but licensing approval takes 6-9 months. Each month delay = 25K revenue miss. Pushes profitability from Month 12 to Month 18+. Price should reflect 6-month licensing delay risk as baseline, not optimistic case.</t>
        </is>
      </c>
      <c r="C27" s="30" t="inlineStr">
        <is>
          <t>MEDIUM</t>
        </is>
      </c>
    </row>
    <row r="28">
      <c r="A28" t="inlineStr">
        <is>
          <t>7. EQUIPMENT VALUE UNCONFIRMED</t>
        </is>
      </c>
      <c r="B28" s="27" t="inlineStr">
        <is>
          <t>Model assumes 200-250K equipment value. Appraisal NOT DONE YET. If equipment worth only 120-150K, asset base drops 50-100K. Medical aesthetics devices 2 years old depreciate 50-60%. Anchor lower pending objective appraisal results.</t>
        </is>
      </c>
      <c r="C28" s="28" t="inlineStr">
        <is>
          <t>MAJOR</t>
        </is>
      </c>
    </row>
    <row r="29">
      <c r="A29" t="inlineStr">
        <is>
          <t>8. STAFF RETENTION UNCERTAIN</t>
        </is>
      </c>
      <c r="B29" s="27" t="inlineStr">
        <is>
          <t>Therapists may leave under new ownership. Lose 2 of 5 therapists = revenue drops 16-20K/month. Price reflects staff turnover risk, not best-case retention.</t>
        </is>
      </c>
      <c r="C29" s="30" t="inlineStr">
        <is>
          <t>MEDIUM</t>
        </is>
      </c>
    </row>
    <row r="30">
      <c r="A30" t="inlineStr">
        <is>
          <t>9. CURRENT BUSINESS IS LOSS-MAKING</t>
        </is>
      </c>
      <c r="B30" s="27" t="inlineStr">
        <is>
          <t>At 22.5K revenue and 8K rent + 16K operating costs = business loses 1-2K/month TODAY. You are buying an UNPROFITABLE asset. This is critical: you are not buying a cash cow; you are buying a turnaround. Turnarounds trade at lower multiples. Price should reflect negative current cash flow, not positive future projections.</t>
        </is>
      </c>
      <c r="C30" s="28" t="inlineStr">
        <is>
          <t>MAJOR</t>
        </is>
      </c>
    </row>
    <row r="31">
      <c r="A31" t="inlineStr">
        <is>
          <t>10. RENT RENEGOTIATION NOT GUARANTEED</t>
        </is>
      </c>
      <c r="B31" s="27" t="inlineStr">
        <is>
          <t>Model assumes 8K rent but landlord could refuse reduction. If rent stays 8K, EBITDA at 60K revenue = only 24K/month (vs 29K at 7K rent). Margin difference = 60K/year NPV loss. Price discount built in for rent risk.</t>
        </is>
      </c>
      <c r="C31" s="30" t="inlineStr">
        <is>
          <t>MEDIUM</t>
        </is>
      </c>
    </row>
    <row r="32">
      <c r="A32" t="inlineStr">
        <is>
          <t>11. FIXED COST INFLEXIBILITY</t>
        </is>
      </c>
      <c r="B32" s="27" t="inlineStr">
        <is>
          <t>You locked into 13.8K/month fixed costs (rent, utilities, insurance, systems, staff). If revenue does not reach 40K, business runs at loss. This high fixed/variable ratio increases downside risk. Price lower to compensate.</t>
        </is>
      </c>
      <c r="C32" s="30" t="inlineStr">
        <is>
          <t>MEDIUM</t>
        </is>
      </c>
    </row>
    <row r="33">
      <c r="A33" t="inlineStr">
        <is>
          <t>12. COMPETITIVE RESPONSE CERTAIN</t>
        </is>
      </c>
      <c r="B33" s="27" t="inlineStr">
        <is>
          <t>Once you stabilize INA and improve experience, competitors (especially Numi) will respond with price cuts or improved service. Your growth assumes market share gains competitors will not concede without a fight. Competitive intensity risk warrants lower price.</t>
        </is>
      </c>
      <c r="C33" s="30" t="inlineStr">
        <is>
          <t>MEDIUM</t>
        </is>
      </c>
    </row>
    <row r="34">
      <c r="A34" t="inlineStr">
        <is>
          <t>13. NO SUSTAINABLE COMPETITIVE ADVANTAGE</t>
        </is>
      </c>
      <c r="B34" s="27" t="inlineStr">
        <is>
          <t>INA has no unique moat. You compete on location (shared with others), service quality (replicable), or price (race to bottom). Medical aesthetics is differentiator but competitors can add it too. Limited defensibility = lower price.</t>
        </is>
      </c>
      <c r="C34" s="30" t="inlineStr">
        <is>
          <t>MEDIUM</t>
        </is>
      </c>
    </row>
    <row r="35">
      <c r="A35" t="inlineStr">
        <is>
          <t>14. EBITDA MULTIPLE APPROACH TOO GENEROUS</t>
        </is>
      </c>
      <c r="B35" s="27" t="inlineStr">
        <is>
          <t>Comparable European spa acquisitions trade 1.5-1.8x EBITDA for PROFITABLE businesses. INA is LOSS-MAKING currently. Applying 1.8x multiple to negative EBITDA makes no sense. Should use 0.8-1.2x multiple for distressed asset. Price accordingly lower.</t>
        </is>
      </c>
      <c r="C35" s="28" t="inlineStr">
        <is>
          <t>MAJOR</t>
        </is>
      </c>
    </row>
    <row r="36">
      <c r="A36" t="inlineStr">
        <is>
          <t>15. EQUIPMENT VALUE IS YOUR RISK, NOT SELLER UPSIDE</t>
        </is>
      </c>
      <c r="B36" s="27" t="inlineStr">
        <is>
          <t>1M was invested but 30-50% is non-moveable (plumbing, HVAC, structural). Remaining 500-700K equipment = 150-250K current market value (depreciation + thin secondary market). Seller benefits from high valuation; YOU assume risk. Price lower to protect yourself.</t>
        </is>
      </c>
      <c r="C36" s="28" t="inlineStr">
        <is>
          <t>MAJOR</t>
        </is>
      </c>
    </row>
    <row r="37">
      <c r="A37" t="inlineStr">
        <is>
          <t>16. LEASE PREMIUM IS CONTINGENT</t>
        </is>
      </c>
      <c r="B37" s="27" t="inlineStr">
        <is>
          <t>Model values lease at 250K+ NPV. But this assumes landlord approves assignment, consent is free, rent stays 8K for 13 years. If landlord refuses or forces rent to 10K, lease value disappears. This contingency = 50-100K price reduction until confirmed.</t>
        </is>
      </c>
      <c r="C37" s="28" t="inlineStr">
        <is>
          <t>MAJOR</t>
        </is>
      </c>
    </row>
    <row r="38">
      <c r="A38" t="inlineStr">
        <is>
          <t>17. SUNK COST IS GONE (MOST IMPORTANT)</t>
        </is>
      </c>
      <c r="B38" s="27" t="inlineStr">
        <is>
          <t>Seller invested 1M two years ago. That money is GONE. Whether seller exits today or continues losing money, that 1M does not come back. Seller s emotional anchor (I put 1M into this) is irrelevant to what it is worth TODAY. Value = FUTURE cash flows, not past mistakes.</t>
        </is>
      </c>
      <c r="C38" s="29" t="inlineStr">
        <is>
          <t>CRITICAL</t>
        </is>
      </c>
    </row>
    <row r="39">
      <c r="A39" t="inlineStr">
        <is>
          <t>18. SELLER S ONLY CHOICE IS CUT LOSSES</t>
        </is>
      </c>
      <c r="B39" s="27" t="inlineStr">
        <is>
          <t>Seller options: (1) Accept 100-120K from you, cut losses, redeploy capital, (2) Continue operating, lose 15-20K/month, eventually close with 0 proceeds. Option 1 is clearly better. Frame: The business has lost 300K over 2 years. Another year = 180K more gone. At some point, cut the loss. 120K stops bleeding today.</t>
        </is>
      </c>
      <c r="C39" s="29" t="inlineStr">
        <is>
          <t>CRITICAL</t>
        </is>
      </c>
    </row>
    <row r="42">
      <c r="A42" s="26" t="inlineStr">
        <is>
          <t>SECTION 3: PRICE ANCHOR STRATEGY</t>
        </is>
      </c>
    </row>
    <row r="43">
      <c r="A43" s="4" t="inlineStr">
        <is>
          <t>ANCHOR PRICES &amp; JUSTIFICATIONS</t>
        </is>
      </c>
    </row>
    <row r="44">
      <c r="A44" s="33" t="inlineStr">
        <is>
          <t>Price Point</t>
        </is>
      </c>
      <c r="B44" s="33" t="inlineStr">
        <is>
          <t>Your Position</t>
        </is>
      </c>
      <c r="C44" s="33" t="inlineStr">
        <is>
          <t>Rationale</t>
        </is>
      </c>
    </row>
    <row r="45">
      <c r="A45" s="34" t="inlineStr">
        <is>
          <t>ANCHOR: 40-50K</t>
        </is>
      </c>
      <c r="B45" s="35" t="inlineStr">
        <is>
          <t>Opening offer. Low but justified.</t>
        </is>
      </c>
      <c r="C45" s="27" t="inlineStr">
        <is>
          <t>Business loses money today at 22.5K revenue. Equipment value unconfirmed. Lease assignment not yet approved. Staff retention uncertain. 40-50K reflects current distressed state.</t>
        </is>
      </c>
    </row>
    <row r="46">
      <c r="A46" s="34" t="inlineStr">
        <is>
          <t>MOVE 1: 65-75K</t>
        </is>
      </c>
      <c r="B46" s="35" t="inlineStr">
        <is>
          <t>Concession if conditions met.</t>
        </is>
      </c>
      <c r="C46" s="27" t="inlineStr">
        <is>
          <t>Contingent: (1) Landlord assignment approval, (2) Equipment appraisal &gt;=200K, (3) Staff 18-month contracts signed.</t>
        </is>
      </c>
    </row>
    <row r="47">
      <c r="A47" s="34" t="inlineStr">
        <is>
          <t>MOVE 2: 85-100K</t>
        </is>
      </c>
      <c r="B47" s="35" t="inlineStr">
        <is>
          <t>Further concession post-DD.</t>
        </is>
      </c>
      <c r="C47" s="27" t="inlineStr">
        <is>
          <t>Contingent: (1) 24-month P&amp;L confirms 22.5K baseline, (2) Lease confirms 8K/month, (3) No hidden liabilities &gt;50K, (4) Medical licensing pathway confirmed.</t>
        </is>
      </c>
    </row>
    <row r="48">
      <c r="A48" s="34" t="inlineStr">
        <is>
          <t>MOVE 3: 110-130K</t>
        </is>
      </c>
      <c r="B48" s="35" t="inlineStr">
        <is>
          <t>Final offer before walk.</t>
        </is>
      </c>
      <c r="C48" s="27" t="inlineStr">
        <is>
          <t>Contingent: (1) All above met, (2) Market research validates 70K+ revenue achievable, (3) Therapist retention confirmed.</t>
        </is>
      </c>
    </row>
    <row r="49">
      <c r="A49" s="34" t="inlineStr">
        <is>
          <t>WALK-AWAY: &gt;150K</t>
        </is>
      </c>
      <c r="B49" s="35" t="inlineStr">
        <is>
          <t>Do not go higher.</t>
        </is>
      </c>
      <c r="C49" s="27" t="inlineStr">
        <is>
          <t>Above 150K, ROI falls below acceptable. 150K = 2.5yr payback, 18% IRR. Above 150K = &gt;3yr payback, &lt;15% IRR. Not acceptable. Walk away confidently.</t>
        </is>
      </c>
    </row>
    <row r="52">
      <c r="A52" s="26" t="inlineStr">
        <is>
          <t>SECTION 4: POWER SCRIPTS - WHAT TO SAY</t>
        </is>
      </c>
    </row>
    <row r="53">
      <c r="A53" s="4" t="inlineStr">
        <is>
          <t>SCENARIO</t>
        </is>
      </c>
      <c r="B53" s="4" t="inlineStr">
        <is>
          <t>WHAT YOU SAY</t>
        </is>
      </c>
      <c r="C53" s="4" t="inlineStr">
        <is>
          <t>IMPACT</t>
        </is>
      </c>
    </row>
    <row r="54">
      <c r="A54" s="34" t="inlineStr">
        <is>
          <t>ON SUNK COST</t>
        </is>
      </c>
      <c r="B54" s="36" t="inlineStr">
        <is>
          <t>I understand why you look at the 1M invested and feel value should reflect that. But any buyer asks: What does this EARN today? Not what it cost. Not what it could earn. What it earns NOW. That 1M is gone whether you sell today or continue losing money. Only question: Do we stop losses now or continue?</t>
        </is>
      </c>
      <c r="C54" s="37" t="inlineStr">
        <is>
          <t>Reframes to current reality</t>
        </is>
      </c>
    </row>
    <row r="55">
      <c r="A55" s="34" t="inlineStr">
        <is>
          <t>ON REVENUE DECLINE</t>
        </is>
      </c>
      <c r="B55" s="36" t="inlineStr">
        <is>
          <t>Revenue went from 40-50K to 22.5K. Before we price this, we need to understand: Was it Numi separation? Market shift? Service quality? If local market cannot support 70K+ revenue, acquisition thesis changes. We are assuming we recover to 60-70K. If not achievable, price reflects that risk.</t>
        </is>
      </c>
      <c r="C55" s="37" t="inlineStr">
        <is>
          <t>Forces diagnosis or lower price</t>
        </is>
      </c>
    </row>
    <row r="56">
      <c r="A56" s="34" t="inlineStr">
        <is>
          <t>ON UNPROFITABILITY</t>
        </is>
      </c>
      <c r="B56" s="36" t="inlineStr">
        <is>
          <t>Right now at 22.5K revenue and 8K rent, the business loses money. We are not buying a profitable asset. We are buying a turnaround. Turnarounds trade at lower multiples precisely because of execution risk. Valuation reflects we are buying a loss-making business, not a cash-generating one.</t>
        </is>
      </c>
      <c r="C56" s="37" t="inlineStr">
        <is>
          <t>Anchors in negative reality</t>
        </is>
      </c>
    </row>
    <row r="57">
      <c r="A57" s="34" t="inlineStr">
        <is>
          <t>ON EQUIPMENT</t>
        </is>
      </c>
      <c r="B57" s="36" t="inlineStr">
        <is>
          <t>Yes, there is substantial equipment. But some is built-in (stays with building). Moveable equipment depreciates 50-60% in secondary market like Malta. Medical devices 2 years old are older than new competitors have. We are commissioning objective appraisal. Once we have that, we have clear picture. Until then, we price conservatively.</t>
        </is>
      </c>
      <c r="C57" s="37" t="inlineStr">
        <is>
          <t>Forces objective validation</t>
        </is>
      </c>
    </row>
    <row r="58">
      <c r="A58" s="34" t="inlineStr">
        <is>
          <t>ON TIME PRESSURE</t>
        </is>
      </c>
      <c r="B58" s="36" t="inlineStr">
        <is>
          <t>If other qualified buyers are interested, you should explore those conversations. For us, we are not in a rush. We have other options and can wait. If numbers work, great. If not, we deploy capital elsewhere. But if you want to continue, we are here.</t>
        </is>
      </c>
      <c r="C58" s="37" t="inlineStr">
        <is>
          <t>Removes seller urgency</t>
        </is>
      </c>
    </row>
    <row r="61">
      <c r="A61" s="26" t="inlineStr">
        <is>
          <t>SECTION 5: RED LINES - DO NOT CROSS</t>
        </is>
      </c>
    </row>
    <row r="62">
      <c r="A62" s="32" t="inlineStr">
        <is>
          <t>RED LINE</t>
        </is>
      </c>
      <c r="B62" s="32" t="inlineStr">
        <is>
          <t>IF THIS HAPPENS</t>
        </is>
      </c>
      <c r="C62" s="32" t="inlineStr">
        <is>
          <t>THEN WALK AWAY</t>
        </is>
      </c>
    </row>
    <row r="63">
      <c r="A63" s="38" t="inlineStr">
        <is>
          <t>Rent &gt; 9K/month OR consent &gt; 50K</t>
        </is>
      </c>
      <c r="B63" s="27" t="inlineStr">
        <is>
          <t>At 9K+ rent, profitability collapses. Consent fees are deal-killers.</t>
        </is>
      </c>
      <c r="C63" s="39" t="inlineStr">
        <is>
          <t>WALK AWAY</t>
        </is>
      </c>
    </row>
    <row r="64">
      <c r="A64" s="38" t="inlineStr">
        <is>
          <t>Equipment appraisal &lt; 150K</t>
        </is>
      </c>
      <c r="B64" s="27" t="inlineStr">
        <is>
          <t>If worth 100-120K vs 250K assumed, valuation basis crumbles.</t>
        </is>
      </c>
      <c r="C64" s="39" t="inlineStr">
        <is>
          <t>Renegotiate down or WALK</t>
        </is>
      </c>
    </row>
    <row r="65">
      <c r="A65" s="38" t="inlineStr">
        <is>
          <t>Landlord refuses assignment</t>
        </is>
      </c>
      <c r="B65" s="27" t="inlineStr">
        <is>
          <t>Deal cannot proceed without lease transfer.</t>
        </is>
      </c>
      <c r="C65" s="39" t="inlineStr">
        <is>
          <t>WALK AWAY immediately</t>
        </is>
      </c>
    </row>
    <row r="66">
      <c r="A66" s="38" t="inlineStr">
        <is>
          <t>Key staff won t sign contracts</t>
        </is>
      </c>
      <c r="B66" s="27" t="inlineStr">
        <is>
          <t>Revenue continuity requires staff staying.</t>
        </is>
      </c>
      <c r="C66" s="39" t="inlineStr">
        <is>
          <t>WALK or price down 30%</t>
        </is>
      </c>
    </row>
    <row r="67">
      <c r="A67" s="38" t="inlineStr">
        <is>
          <t>Seller anchors &gt;200K, won t move</t>
        </is>
      </c>
      <c r="B67" s="27" t="inlineStr">
        <is>
          <t>Seller has unrealistic expectations.</t>
        </is>
      </c>
      <c r="C67" s="39" t="inlineStr">
        <is>
          <t>WALK. Call when ready.</t>
        </is>
      </c>
    </row>
    <row r="68">
      <c r="A68" s="38" t="inlineStr">
        <is>
          <t>Market research shows decline</t>
        </is>
      </c>
      <c r="B68" s="27" t="inlineStr">
        <is>
          <t>Revenue growth thesis collapses.</t>
        </is>
      </c>
      <c r="C68" s="39" t="inlineStr">
        <is>
          <t>Renegotiate to 80-100K or WALK</t>
        </is>
      </c>
    </row>
    <row r="69">
      <c r="A69" s="38" t="inlineStr">
        <is>
          <t>Hidden liabilities &gt; 100K</t>
        </is>
      </c>
      <c r="B69" s="27" t="inlineStr">
        <is>
          <t>Balance sheet worse than represented.</t>
        </is>
      </c>
      <c r="C69" s="39" t="inlineStr">
        <is>
          <t>Deduct from offer price</t>
        </is>
      </c>
    </row>
    <row r="71">
      <c r="A71" s="26" t="inlineStr">
        <is>
          <t>SECTION 6: ADVANCED ARGUMENTS - DEPLOY THESE IN NEGOTIATION</t>
        </is>
      </c>
    </row>
    <row r="72">
      <c r="A72" s="34" t="inlineStr">
        <is>
          <t>SUNK COST IS IRRELEVANT</t>
        </is>
      </c>
      <c r="B72" s="27" t="inlineStr">
        <is>
          <t>Past capex (1M) does not set todays value. Value comes from CURRENT verified cashflow and transferable rights. Emotional anchor (I invested 1M) is not valuation logic.</t>
        </is>
      </c>
      <c r="C72" s="29" t="inlineStr">
        <is>
          <t>KILLER ARGUMENT</t>
        </is>
      </c>
    </row>
    <row r="73">
      <c r="A73" s="34" t="inlineStr">
        <is>
          <t>DISTRESSED ASSET PRICING</t>
        </is>
      </c>
      <c r="B73" s="27" t="inlineStr">
        <is>
          <t>When performance collapses and owner is disengaged, goodwill approaches zero. Revenue down 50%, owner burned out = goodwill is 0, not positive.</t>
        </is>
      </c>
      <c r="C73" s="29" t="inlineStr">
        <is>
          <t>KILLER ARGUMENT</t>
        </is>
      </c>
    </row>
    <row r="74">
      <c r="A74" s="34" t="inlineStr">
        <is>
          <t>YOURE NOT BUYING CUSTOMERS</t>
        </is>
      </c>
      <c r="B74" s="27" t="inlineStr">
        <is>
          <t>You are rebranding and repurposing the space. Without proven transferable demand, there is NO goodwill to pay for. Customers left for reasons; they won t magically stay.</t>
        </is>
      </c>
      <c r="C74" s="29" t="inlineStr">
        <is>
          <t>KILLER ARGUMENT</t>
        </is>
      </c>
    </row>
    <row r="75">
      <c r="A75" s="34" t="inlineStr">
        <is>
          <t>VERIFICATION OR IT DOESN T EXIST</t>
        </is>
      </c>
      <c r="B75" s="27" t="inlineStr">
        <is>
          <t>Claims like we used to do 50K are not valuation inputs unless PROVEN by bank statements and VAT returns. Show me the money, or I price based on current 22.5K.</t>
        </is>
      </c>
      <c r="C75" s="29" t="inlineStr">
        <is>
          <t>KILLER ARGUMENT</t>
        </is>
      </c>
    </row>
    <row r="76">
      <c r="A76" s="34" t="inlineStr">
        <is>
          <t>EQUIPMENT = MARKET VALUE TODAY</t>
        </is>
      </c>
      <c r="B76" s="27" t="inlineStr">
        <is>
          <t>Equipment valued at what it sells for TODAY, minus any finance, not what it cost new. 2-year-old medical devices in thin Malta market = 40-50% of invoice. Appraisal proves this.</t>
        </is>
      </c>
      <c r="C76" s="29" t="inlineStr">
        <is>
          <t>KILLER ARGUMENT</t>
        </is>
      </c>
    </row>
    <row r="77">
      <c r="A77" s="34" t="inlineStr">
        <is>
          <t>LEASE IS THE REAL ASSET OR LIABILITY</t>
        </is>
      </c>
      <c r="B77" s="27" t="inlineStr">
        <is>
          <t>If rent is above market or transfer is difficult, the business is a LIABILITY, not asset. Lease terms &gt; business model in determining value. Must be confirmed BEFORE price.</t>
        </is>
      </c>
      <c r="C77" s="29" t="inlineStr">
        <is>
          <t>KILLER ARGUMENT</t>
        </is>
      </c>
    </row>
    <row r="78">
      <c r="A78" s="34" t="inlineStr">
        <is>
          <t>YOU RE THE ONLY CREDIBLE RESCUE</t>
        </is>
      </c>
      <c r="B78" s="27" t="inlineStr">
        <is>
          <t>You have proven operating system (staffing, SOPs, CRM, retention, upsell). You can fill capacity using Carisma overflow demand. You already run medical aesthetics. You can move fast vs any other buyer. This is worth a DISCOUNT to seller, not a premium.</t>
        </is>
      </c>
      <c r="C78" s="31" t="inlineStr">
        <is>
          <t>YOUR STRENGTH</t>
        </is>
      </c>
    </row>
    <row r="79">
      <c r="A79" s="34" t="inlineStr">
        <is>
          <t>OWNER IS DISENGAGED</t>
        </is>
      </c>
      <c r="B79" s="27" t="inlineStr">
        <is>
          <t>Business decline is direct result of absentee leadership. This creates urgency to offload. Revenue dropped = owner checked out. Owner will accept reasonable exit vs waiting.</t>
        </is>
      </c>
      <c r="C79" s="31" t="inlineStr">
        <is>
          <t>YOUR STRENGTH</t>
        </is>
      </c>
    </row>
    <row r="80">
      <c r="A80" s="34" t="inlineStr">
        <is>
          <t>EVERY MONTH THEY WAIT COSTS THEM</t>
        </is>
      </c>
      <c r="B80" s="27" t="inlineStr">
        <is>
          <t>Rent, payroll, reputation damage compound. Seller bleeding 15-20K/month. 6 months of delay = 90-120K additional losses. Your speed has value. Use it.</t>
        </is>
      </c>
      <c r="C80" s="31" t="inlineStr">
        <is>
          <t>YOUR STRENGTH</t>
        </is>
      </c>
    </row>
    <row r="81">
      <c r="A81" s="34" t="inlineStr">
        <is>
          <t>BUYER POOL IS SMALL</t>
        </is>
      </c>
      <c r="B81" s="27" t="inlineStr">
        <is>
          <t>Few buyers can take on lease-heavy, capex-heavy distressed spa and execute turnaround. Most will lowball harder than you or fail in execution. This makes YOU unique and valuable.</t>
        </is>
      </c>
      <c r="C81" s="31" t="inlineStr">
        <is>
          <t>YOUR STRENGTH</t>
        </is>
      </c>
    </row>
    <row r="82">
      <c r="A82" s="34" t="inlineStr">
        <is>
          <t>ASSIGNMENT RISK DISCOUNTS PRICE</t>
        </is>
      </c>
      <c r="B82" s="27" t="inlineStr">
        <is>
          <t>If lease assignment is complex or approval slow, your price must drop proportionally. Seller should absorb assignment risk, not you. Use conditionality.</t>
        </is>
      </c>
      <c r="C82" s="28" t="inlineStr">
        <is>
          <t>PROCESS CONTROL</t>
        </is>
      </c>
    </row>
    <row r="83">
      <c r="A83" s="34" t="inlineStr">
        <is>
          <t>GUARANTEE RISK DISCOUNTS PRICE</t>
        </is>
      </c>
      <c r="B83" s="27" t="inlineStr">
        <is>
          <t>If seller wants personal guarantees from you, purchase price must be nominal. Personal guarantee = unlimited liability. Insist on limits or reduce price.</t>
        </is>
      </c>
      <c r="C83" s="28" t="inlineStr">
        <is>
          <t>PROCESS CONTROL</t>
        </is>
      </c>
    </row>
    <row r="84">
      <c r="A84" s="34" t="inlineStr">
        <is>
          <t>NO PRICE TALK UNTIL STRUCTURE CLEAR</t>
        </is>
      </c>
      <c r="B84" s="27" t="inlineStr">
        <is>
          <t>Lease transferability, liabilities, and whats included must be CONFIRMED first. Do not anchor price without knowing lease terms, hidden debts, and equipment encumbrance.</t>
        </is>
      </c>
      <c r="C84" s="28" t="inlineStr">
        <is>
          <t>PROCESS CONTROL</t>
        </is>
      </c>
    </row>
    <row r="85">
      <c r="A85" s="34" t="inlineStr">
        <is>
          <t>DOCUMENTS IN 48 HOURS = SERIOUS SELLER</t>
        </is>
      </c>
      <c r="B85" s="27" t="inlineStr">
        <is>
          <t>Provide lease, bank statements, VAT, P&amp;L, debt schedule, partner contracts fast = seller is serious. Delay signals problems or hiding. Use document requests as gating.</t>
        </is>
      </c>
      <c r="C85" s="28" t="inlineStr">
        <is>
          <t>PROCESS CONTROL</t>
        </is>
      </c>
    </row>
    <row r="86">
      <c r="A86" s="34" t="inlineStr">
        <is>
          <t>OFFER STRUCTURE GIVES YOU CONTROL</t>
        </is>
      </c>
      <c r="B86" s="27" t="inlineStr">
        <is>
          <t>Three structures (nominal + earn-out, management-to-own, asset purchase with liability clearance). Option framing lets seller choose while you control outcomes. Use this.</t>
        </is>
      </c>
      <c r="C86" s="28" t="inlineStr">
        <is>
          <t>OFFER DESIGN</t>
        </is>
      </c>
    </row>
    <row r="87">
      <c r="A87" s="34" t="inlineStr">
        <is>
          <t>THIS IS A SPACE PLAY</t>
        </is>
      </c>
      <c r="B87" s="27" t="inlineStr">
        <is>
          <t>You are buying a FITTED UNIT that saves build time and fit-out cost. You are NOT acquiring customer goodwill. You will create new demand via your operating system and brand. No goodwill premium justified.</t>
        </is>
      </c>
      <c r="C87" s="30" t="inlineStr">
        <is>
          <t>YOUR STRONGEST FRAME</t>
        </is>
      </c>
    </row>
    <row r="88">
      <c r="A88" s="34" t="inlineStr">
        <is>
          <t>RELIEF AND CLOSURE HAVE VALUE</t>
        </is>
      </c>
      <c r="B88" s="27" t="inlineStr">
        <is>
          <t>You are offering owner an exit from stress and embarrassment. Current situation is painful. You provide certain outcome now vs uncertain recovery later. This matters psychologically.</t>
        </is>
      </c>
      <c r="C88" s="31" t="inlineStr">
        <is>
          <t>PSYCHOLOGICAL LEVERAGE</t>
        </is>
      </c>
    </row>
    <row r="89">
      <c r="A89" s="34" t="inlineStr">
        <is>
          <t>CERTAINTY OVER HOPE</t>
        </is>
      </c>
      <c r="B89" s="27" t="inlineStr">
        <is>
          <t>Owner has been bleeding money with declining business. Certainty of 100-120K today &gt; hope of 200K+ if business might recover. Most business owners in pain choose certainty.</t>
        </is>
      </c>
      <c r="C89" s="31" t="inlineStr">
        <is>
          <t>PSYCHOLOGICAL LEVERAGE</t>
        </is>
      </c>
    </row>
    <row r="92">
      <c r="A92" s="26" t="inlineStr">
        <is>
          <t>ONE-PAGE SUMMARY - READ THIS BEFORE THE MEETING</t>
        </is>
      </c>
    </row>
    <row r="93">
      <c r="A93" s="40" t="inlineStr">
        <is>
          <t>1. Current performance is DISTRESSED and must be verified with bank statements + VAT returns</t>
        </is>
      </c>
    </row>
    <row r="94">
      <c r="A94" s="40" t="inlineStr">
        <is>
          <t>2. I am not buying past capex (1M sunk cost), I am taking PRESENT RISK at 22.5K revenue</t>
        </is>
      </c>
    </row>
    <row r="95">
      <c r="A95" s="40" t="inlineStr">
        <is>
          <t>3. Lease terms and liabilities determine value MORE than revenue does</t>
        </is>
      </c>
    </row>
    <row r="96">
      <c r="A96" s="40" t="inlineStr">
        <is>
          <t>4. Goodwill is MINIMAL because I am rebranding and rebuilding demand from scratch</t>
        </is>
      </c>
    </row>
    <row r="97">
      <c r="A97" s="40" t="inlineStr">
        <is>
          <t>5. Equipment valued at MARKET RESALE TODAY, not invoice cost, net of any financing</t>
        </is>
      </c>
    </row>
    <row r="98">
      <c r="A98" s="40" t="inlineStr">
        <is>
          <t>6. I can move FAST and solve your headache, but ONLY with clean structure and document transparency</t>
        </is>
      </c>
    </row>
    <row r="99">
      <c r="A99" s="40" t="inlineStr">
        <is>
          <t>7. If you want price based on potential, that becomes an EARN-OUT (payment tied to performance), not cash today</t>
        </is>
      </c>
    </row>
    <row r="100">
      <c r="A100" s="40" t="inlineStr">
        <is>
          <t>8. My BATNA is strong: I can build greenfield spa elsewhere or deploy capital to existing brands</t>
        </is>
      </c>
    </row>
    <row r="101">
      <c r="A101" s="40" t="inlineStr">
        <is>
          <t>9. Seller is weak: business losing money, owner disengaged, no other credible buyers visible</t>
        </is>
      </c>
    </row>
    <row r="102">
      <c r="A102" s="40" t="inlineStr">
        <is>
          <t>10. Every month of delay costs YOU 15-20K in losses. My speed has value. Use it to get better price.</t>
        </is>
      </c>
    </row>
  </sheetData>
  <mergeCells count="21">
    <mergeCell ref="A99:C99"/>
    <mergeCell ref="A3:C3"/>
    <mergeCell ref="A101:C101"/>
    <mergeCell ref="A12:C12"/>
    <mergeCell ref="A95:C95"/>
    <mergeCell ref="A42:C42"/>
    <mergeCell ref="A71:C71"/>
    <mergeCell ref="A97:C97"/>
    <mergeCell ref="A100:C100"/>
    <mergeCell ref="A4:C4"/>
    <mergeCell ref="A43:C43"/>
    <mergeCell ref="A96:C96"/>
    <mergeCell ref="A20:C20"/>
    <mergeCell ref="A52:C52"/>
    <mergeCell ref="A102:C102"/>
    <mergeCell ref="A93:C93"/>
    <mergeCell ref="A92:C92"/>
    <mergeCell ref="A98:C98"/>
    <mergeCell ref="A1:C1"/>
    <mergeCell ref="A94:C94"/>
    <mergeCell ref="A61:C6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5"/>
  <cols>
    <col width="35" customWidth="1" min="1" max="1"/>
    <col width="14" customWidth="1" min="2" max="2"/>
    <col width="14" customWidth="1" min="3" max="3"/>
    <col width="50" customWidth="1" min="4" max="4"/>
  </cols>
  <sheetData>
    <row r="1" ht="25" customHeight="1">
      <c r="A1" s="1" t="inlineStr">
        <is>
          <t>INA SPA MALTA — CONSOLIDATED FINANCIAL MODEL</t>
        </is>
      </c>
    </row>
    <row r="3">
      <c r="A3" s="2" t="inlineStr">
        <is>
          <t>PART 1: REVENUE ASSUMPTIONS</t>
        </is>
      </c>
    </row>
    <row r="4">
      <c r="A4" s="3" t="inlineStr">
        <is>
          <t>Revenue Driver</t>
        </is>
      </c>
      <c r="B4" s="3" t="inlineStr">
        <is>
          <t>Conservative</t>
        </is>
      </c>
      <c r="C4" s="3" t="inlineStr">
        <is>
          <t>Base Case</t>
        </is>
      </c>
      <c r="D4" s="3" t="inlineStr">
        <is>
          <t>Optimistic</t>
        </is>
      </c>
    </row>
    <row r="5">
      <c r="A5" s="4" t="inlineStr">
        <is>
          <t>SPA OPERATIONS</t>
        </is>
      </c>
    </row>
    <row r="6">
      <c r="A6" t="inlineStr">
        <is>
          <t>Current Monthly Revenue</t>
        </is>
      </c>
      <c r="B6" s="5" t="n">
        <v>22500</v>
      </c>
      <c r="C6" s="5" t="n">
        <v>22500</v>
      </c>
      <c r="D6" s="5" t="n">
        <v>22500</v>
      </c>
    </row>
    <row r="7">
      <c r="A7" t="inlineStr">
        <is>
          <t>Target Month 12 Revenue</t>
        </is>
      </c>
      <c r="B7" s="5" t="n">
        <v>40000</v>
      </c>
      <c r="C7" s="5" t="n">
        <v>60000</v>
      </c>
      <c r="D7" s="5" t="n">
        <v>75000</v>
      </c>
    </row>
    <row r="8">
      <c r="A8" t="inlineStr">
        <is>
          <t>Average Spa Treatment Price</t>
        </is>
      </c>
      <c r="B8" s="5" t="n">
        <v>80</v>
      </c>
      <c r="C8" s="5" t="n">
        <v>85</v>
      </c>
      <c r="D8" s="5" t="n">
        <v>90</v>
      </c>
    </row>
    <row r="9">
      <c r="A9" t="inlineStr">
        <is>
          <t>Monthly Spa Treatments</t>
        </is>
      </c>
      <c r="B9" s="6" t="n">
        <v>313</v>
      </c>
      <c r="C9" s="6" t="n">
        <v>706</v>
      </c>
      <c r="D9" s="6" t="n">
        <v>833</v>
      </c>
    </row>
    <row r="10">
      <c r="A10" t="inlineStr">
        <is>
          <t>Spa Utilization Target</t>
        </is>
      </c>
      <c r="B10" s="7" t="n">
        <v>0.55</v>
      </c>
      <c r="C10" s="7" t="n">
        <v>0.65</v>
      </c>
      <c r="D10" s="7" t="n">
        <v>0.75</v>
      </c>
    </row>
    <row r="12">
      <c r="A12" s="4" t="inlineStr">
        <is>
          <t>MEDICAL AESTHETICS CLINIC</t>
        </is>
      </c>
    </row>
    <row r="13">
      <c r="A13" t="inlineStr">
        <is>
          <t>Month of Launch</t>
        </is>
      </c>
      <c r="B13" s="8" t="n">
        <v>4</v>
      </c>
      <c r="C13" s="8" t="n">
        <v>4</v>
      </c>
      <c r="D13" s="8" t="n">
        <v>3</v>
      </c>
    </row>
    <row r="14">
      <c r="A14" t="inlineStr">
        <is>
          <t>Monthly Aesthetics Revenue (Stabilized)</t>
        </is>
      </c>
      <c r="B14" s="5" t="n">
        <v>15000</v>
      </c>
      <c r="C14" s="5" t="n">
        <v>25000</v>
      </c>
      <c r="D14" s="5" t="n">
        <v>35000</v>
      </c>
    </row>
    <row r="15">
      <c r="A15" t="inlineStr">
        <is>
          <t>Average Aesthetics Price</t>
        </is>
      </c>
      <c r="B15" s="5" t="n">
        <v>300</v>
      </c>
      <c r="C15" s="5" t="n">
        <v>325</v>
      </c>
      <c r="D15" s="5" t="n">
        <v>350</v>
      </c>
    </row>
    <row r="16">
      <c r="A16" t="inlineStr">
        <is>
          <t>Monthly Aesthetics Treatments</t>
        </is>
      </c>
      <c r="B16" s="6" t="n">
        <v>50</v>
      </c>
      <c r="C16" s="6" t="n">
        <v>77</v>
      </c>
      <c r="D16" s="6" t="n">
        <v>100</v>
      </c>
    </row>
    <row r="17">
      <c r="A17" t="inlineStr">
        <is>
          <t>Aesthetics Utilization Target</t>
        </is>
      </c>
      <c r="B17" s="7" t="n">
        <v>0.4</v>
      </c>
      <c r="C17" s="7" t="n">
        <v>0.65</v>
      </c>
      <c r="D17" s="7" t="n">
        <v>0.85</v>
      </c>
    </row>
    <row r="19">
      <c r="A19" s="4" t="inlineStr">
        <is>
          <t>ANCILLARY REVENUE</t>
        </is>
      </c>
    </row>
    <row r="20">
      <c r="A20" t="inlineStr">
        <is>
          <t>Retail Skincare (% of Revenue)</t>
        </is>
      </c>
      <c r="B20" s="7" t="n">
        <v>0.02</v>
      </c>
      <c r="C20" s="7" t="n">
        <v>0.03</v>
      </c>
      <c r="D20" s="7" t="n">
        <v>0.05</v>
      </c>
    </row>
    <row r="21">
      <c r="A21" t="inlineStr">
        <is>
          <t>Corporate/Hotel Partnerships</t>
        </is>
      </c>
      <c r="B21" s="8" t="n">
        <v>1000</v>
      </c>
      <c r="C21" s="8" t="n">
        <v>2000</v>
      </c>
      <c r="D21" s="8" t="n">
        <v>3000</v>
      </c>
    </row>
    <row r="24">
      <c r="A24" s="2" t="inlineStr">
        <is>
          <t>PART 2: STAFFING MODEL &amp; COSTS</t>
        </is>
      </c>
    </row>
    <row r="25">
      <c r="A25" s="3" t="inlineStr">
        <is>
          <t>Position</t>
        </is>
      </c>
      <c r="B25" s="3" t="inlineStr">
        <is>
          <t>Headcount</t>
        </is>
      </c>
      <c r="C25" s="3" t="inlineStr">
        <is>
          <t>Monthly Cost/Person</t>
        </is>
      </c>
      <c r="D25" s="3" t="inlineStr">
        <is>
          <t>Total Monthly Cost</t>
        </is>
      </c>
    </row>
    <row r="26">
      <c r="A26" s="4" t="inlineStr">
        <is>
          <t>SPA OPERATIONS</t>
        </is>
      </c>
    </row>
    <row r="27">
      <c r="A27" t="inlineStr">
        <is>
          <t>Manager (Operations)</t>
        </is>
      </c>
      <c r="B27" s="8" t="n">
        <v>1</v>
      </c>
      <c r="C27" s="5" t="n">
        <v>2500</v>
      </c>
      <c r="D27" s="9" t="n">
        <v>2500</v>
      </c>
    </row>
    <row r="28">
      <c r="A28" t="inlineStr">
        <is>
          <t>Receptionist</t>
        </is>
      </c>
      <c r="B28" s="8" t="n">
        <v>2</v>
      </c>
      <c r="C28" s="5" t="n">
        <v>1200</v>
      </c>
      <c r="D28" s="9" t="n">
        <v>2400</v>
      </c>
    </row>
    <row r="29">
      <c r="A29" t="inlineStr">
        <is>
          <t>Spa Therapist</t>
        </is>
      </c>
      <c r="B29" s="8" t="n">
        <v>5</v>
      </c>
      <c r="C29" s="5" t="n">
        <v>1800</v>
      </c>
      <c r="D29" s="9" t="n">
        <v>9000</v>
      </c>
    </row>
    <row r="31">
      <c r="A31" s="10" t="inlineStr">
        <is>
          <t>SPA OPERATIONS SUBTOTAL</t>
        </is>
      </c>
    </row>
    <row r="33">
      <c r="A33" t="inlineStr">
        <is>
          <t>MEDICAL AESTHETICS CLINIC</t>
        </is>
      </c>
    </row>
    <row r="34">
      <c r="A34" t="inlineStr">
        <is>
          <t>Medical Nurse/Aesthetician</t>
        </is>
      </c>
      <c r="B34" s="8" t="n">
        <v>1</v>
      </c>
      <c r="C34" s="5" t="n">
        <v>5500</v>
      </c>
      <c r="D34" s="9" t="n">
        <v>5500</v>
      </c>
    </row>
    <row r="35">
      <c r="A35" t="inlineStr">
        <is>
          <t>Aesthetics Therapist</t>
        </is>
      </c>
      <c r="B35" s="8" t="n">
        <v>2</v>
      </c>
      <c r="C35" s="5" t="n">
        <v>2000</v>
      </c>
      <c r="D35" s="9" t="n">
        <v>4000</v>
      </c>
    </row>
    <row r="36">
      <c r="A36" t="inlineStr">
        <is>
          <t>Aesthetics Revenue Share (5%)</t>
        </is>
      </c>
    </row>
    <row r="38">
      <c r="A38" s="10" t="inlineStr">
        <is>
          <t>CLINIC SUBTOTAL (Base + 5% of clinic revenue)</t>
        </is>
      </c>
    </row>
    <row r="40">
      <c r="A40" s="10" t="inlineStr">
        <is>
          <t>TOTAL STAFFING (All positions)</t>
        </is>
      </c>
    </row>
    <row r="43">
      <c r="A43" s="11" t="inlineStr">
        <is>
          <t>STAFFING NOTES:</t>
        </is>
      </c>
    </row>
    <row r="44">
      <c r="A44" s="12" t="inlineStr">
        <is>
          <t>• Manager: Operations, scheduling, customer service oversight</t>
        </is>
      </c>
    </row>
    <row r="45">
      <c r="A45" s="12" t="inlineStr">
        <is>
          <t>• Receptionists: Booking, customer check-in, administrative (shared 2 FTE can cover 7am-7pm)</t>
        </is>
      </c>
    </row>
    <row r="46">
      <c r="A46" s="12" t="inlineStr">
        <is>
          <t>• Spa Therapists: 5 FTE to support €60K monthly spa revenue at 65% utilization</t>
        </is>
      </c>
    </row>
    <row r="47">
      <c r="A47" s="12" t="inlineStr">
        <is>
          <t>• Medical Nurse: €4,500 base + €1,000 variable = €5,500 total (commission/incentives for high-value treatments)</t>
        </is>
      </c>
    </row>
    <row r="48">
      <c r="A48" s="12" t="inlineStr">
        <is>
          <t>• Aesthetics Therapists: €2,000 base salary PLUS 5% revenue share from clinic revenue</t>
        </is>
      </c>
    </row>
    <row r="49">
      <c r="A49" s="12" t="inlineStr">
        <is>
          <t xml:space="preserve">  - If clinic generates €25K/month, therapists earn €2,000 + €1,250 = €3,250/month each (up to €5,000+ at high utilization)</t>
        </is>
      </c>
    </row>
    <row r="50">
      <c r="A50" s="12" t="inlineStr">
        <is>
          <t>• Revenue share incentivizes therapists to drive clinic bookings and customer satisfaction</t>
        </is>
      </c>
    </row>
    <row r="52">
      <c r="A52" s="2" t="inlineStr">
        <is>
          <t>PART 3: DETAILED OPERATING COSTS</t>
        </is>
      </c>
    </row>
    <row r="53">
      <c r="A53" s="3" t="inlineStr">
        <is>
          <t>Cost Category</t>
        </is>
      </c>
      <c r="B53" s="3" t="inlineStr">
        <is>
          <t>Unit</t>
        </is>
      </c>
      <c r="C53" s="3" t="inlineStr">
        <is>
          <t>Base Case Monthly</t>
        </is>
      </c>
      <c r="D53" s="3" t="inlineStr">
        <is>
          <t>Notes</t>
        </is>
      </c>
    </row>
    <row r="54">
      <c r="A54" s="4" t="inlineStr">
        <is>
          <t>FACILITIES</t>
        </is>
      </c>
    </row>
    <row r="55">
      <c r="A55" t="inlineStr">
        <is>
          <t>Rent (13-year lease)</t>
        </is>
      </c>
      <c r="B55" s="8" t="inlineStr">
        <is>
          <t>€/month</t>
        </is>
      </c>
      <c r="C55" s="5" t="n">
        <v>8000</v>
      </c>
      <c r="D55" s="12" t="inlineStr">
        <is>
          <t>Below-market rate; key value driver</t>
        </is>
      </c>
    </row>
    <row r="56">
      <c r="A56" t="inlineStr">
        <is>
          <t>Utilities (Electric, Water, Gas)</t>
        </is>
      </c>
      <c r="B56" s="8" t="inlineStr">
        <is>
          <t>€/month</t>
        </is>
      </c>
      <c r="C56" s="5" t="n">
        <v>1800</v>
      </c>
      <c r="D56" s="12" t="inlineStr">
        <is>
          <t>Hydrotherapy equipment, heating, HVAC, lighting</t>
        </is>
      </c>
    </row>
    <row r="57">
      <c r="A57" t="inlineStr">
        <is>
          <t>Building Insurance (Property + Liability)</t>
        </is>
      </c>
      <c r="B57" s="8" t="inlineStr">
        <is>
          <t>€/month</t>
        </is>
      </c>
      <c r="C57" s="5" t="n">
        <v>600</v>
      </c>
      <c r="D57" s="12" t="inlineStr">
        <is>
          <t>Medical liability for clinic; property for equipment</t>
        </is>
      </c>
    </row>
    <row r="58">
      <c r="A58" t="inlineStr">
        <is>
          <t>Maintenance &amp; Repairs</t>
        </is>
      </c>
      <c r="B58" s="8" t="inlineStr">
        <is>
          <t>€/month</t>
        </is>
      </c>
      <c r="C58" s="5" t="n">
        <v>1000</v>
      </c>
      <c r="D58" s="12" t="inlineStr">
        <is>
          <t>Equipment servicing, HVAC filters, plumbing, facility upkeep</t>
        </is>
      </c>
    </row>
    <row r="60">
      <c r="A60" s="4" t="inlineStr">
        <is>
          <t>SUPPLIES &amp; CONSUMABLES</t>
        </is>
      </c>
    </row>
    <row r="61">
      <c r="A61" t="inlineStr">
        <is>
          <t>Spa Consumables (oils, towels, sheets)</t>
        </is>
      </c>
      <c r="B61" s="8" t="inlineStr">
        <is>
          <t>% of revenue</t>
        </is>
      </c>
      <c r="C61" s="7" t="inlineStr">
        <is>
          <t>8%</t>
        </is>
      </c>
      <c r="D61" s="12" t="inlineStr">
        <is>
          <t>€4,800/month at €60K spa revenue</t>
        </is>
      </c>
    </row>
    <row r="62">
      <c r="A62" t="inlineStr">
        <is>
          <t>Aesthetics Supplies (serums, applicators, etc.)</t>
        </is>
      </c>
      <c r="B62" s="8" t="inlineStr">
        <is>
          <t>% of revenue</t>
        </is>
      </c>
      <c r="C62" s="7" t="inlineStr">
        <is>
          <t>5%</t>
        </is>
      </c>
      <c r="D62" s="12" t="inlineStr">
        <is>
          <t>€1,250/month at €25K clinic revenue</t>
        </is>
      </c>
    </row>
    <row r="63">
      <c r="A63" t="inlineStr">
        <is>
          <t>Cleaning &amp; Laundry Service</t>
        </is>
      </c>
      <c r="B63" s="8" t="inlineStr">
        <is>
          <t>€/month</t>
        </is>
      </c>
      <c r="C63" s="5" t="n">
        <v>800</v>
      </c>
      <c r="D63" s="12" t="inlineStr">
        <is>
          <t>Professional laundry for towels/linens (external service)</t>
        </is>
      </c>
    </row>
    <row r="64">
      <c r="A64" t="inlineStr">
        <is>
          <t>Office Supplies &amp; Misc</t>
        </is>
      </c>
      <c r="B64" s="8" t="inlineStr">
        <is>
          <t>€/month</t>
        </is>
      </c>
      <c r="C64" s="5" t="n">
        <v>300</v>
      </c>
      <c r="D64" s="12" t="inlineStr">
        <is>
          <t>Stationery, printer ink, cleaning chemicals</t>
        </is>
      </c>
    </row>
    <row r="66">
      <c r="A66" s="4" t="inlineStr">
        <is>
          <t>MARKETING &amp; CUSTOMER ACQUISITION</t>
        </is>
      </c>
    </row>
    <row r="67">
      <c r="A67" t="inlineStr">
        <is>
          <t>Digital Marketing (Google, Instagram, Facebook)</t>
        </is>
      </c>
      <c r="B67" s="8" t="inlineStr">
        <is>
          <t>€/month</t>
        </is>
      </c>
      <c r="C67" s="5" t="n">
        <v>3500</v>
      </c>
      <c r="D67" s="12" t="inlineStr">
        <is>
          <t>Customer acquisition; paid ads; social media management</t>
        </is>
      </c>
    </row>
    <row r="68">
      <c r="A68" t="inlineStr">
        <is>
          <t>Hotel/Partnership Commission</t>
        </is>
      </c>
      <c r="B68" s="8" t="inlineStr">
        <is>
          <t>% of revenue</t>
        </is>
      </c>
      <c r="C68" s="7" t="inlineStr">
        <is>
          <t>2%</t>
        </is>
      </c>
      <c r="D68" s="12" t="inlineStr">
        <is>
          <t>€1,200/month at €60K revenue (referral fees to partners)</t>
        </is>
      </c>
    </row>
    <row r="69">
      <c r="A69" t="inlineStr">
        <is>
          <t>Loyalty Program &amp; Promotions</t>
        </is>
      </c>
      <c r="B69" s="8" t="inlineStr">
        <is>
          <t>€/month</t>
        </is>
      </c>
      <c r="C69" s="5" t="n">
        <v>500</v>
      </c>
      <c r="D69" s="12" t="inlineStr">
        <is>
          <t>Monthly discounts, referral bonuses, seasonal packages</t>
        </is>
      </c>
    </row>
    <row r="71">
      <c r="A71" s="4" t="inlineStr">
        <is>
          <t>SYSTEMS &amp; OPERATIONS</t>
        </is>
      </c>
    </row>
    <row r="72">
      <c r="A72" t="inlineStr">
        <is>
          <t>Booking System (SaaS)</t>
        </is>
      </c>
      <c r="B72" s="8" t="inlineStr">
        <is>
          <t>€/month</t>
        </is>
      </c>
      <c r="C72" s="5" t="n">
        <v>150</v>
      </c>
      <c r="D72" s="12" t="inlineStr">
        <is>
          <t>Cloud-based appointment management and POS</t>
        </is>
      </c>
    </row>
    <row r="73">
      <c r="A73" t="inlineStr">
        <is>
          <t>CRM &amp; Email Marketing</t>
        </is>
      </c>
      <c r="B73" s="8" t="inlineStr">
        <is>
          <t>€/month</t>
        </is>
      </c>
      <c r="C73" s="5" t="n">
        <v>100</v>
      </c>
      <c r="D73" s="12" t="inlineStr">
        <is>
          <t>Customer management, automated communications</t>
        </is>
      </c>
    </row>
    <row r="74">
      <c r="A74" t="inlineStr">
        <is>
          <t>Internet &amp; Phone</t>
        </is>
      </c>
      <c r="B74" s="8" t="inlineStr">
        <is>
          <t>€/month</t>
        </is>
      </c>
      <c r="C74" s="5" t="n">
        <v>200</v>
      </c>
      <c r="D74" s="12" t="inlineStr">
        <is>
          <t>High-speed broadband + business phone lines</t>
        </is>
      </c>
    </row>
    <row r="75">
      <c r="A75" t="inlineStr">
        <is>
          <t>Point of Sale (POS)</t>
        </is>
      </c>
      <c r="B75" s="8" t="inlineStr">
        <is>
          <t>€/month</t>
        </is>
      </c>
      <c r="C75" s="5" t="n">
        <v>80</v>
      </c>
      <c r="D75" s="12" t="inlineStr">
        <is>
          <t>Card processing, payment terminal, inventory</t>
        </is>
      </c>
    </row>
    <row r="77">
      <c r="A77" s="4" t="inlineStr">
        <is>
          <t>PROFESSIONAL &amp; REGULATORY</t>
        </is>
      </c>
    </row>
    <row r="78">
      <c r="A78" t="inlineStr">
        <is>
          <t>Accounting &amp; Bookkeeping</t>
        </is>
      </c>
      <c r="B78" s="8" t="inlineStr">
        <is>
          <t>€/month</t>
        </is>
      </c>
      <c r="C78" s="5" t="n">
        <v>400</v>
      </c>
      <c r="D78" s="12" t="inlineStr">
        <is>
          <t>Monthly reconciliation, VAT prep, tax compliance</t>
        </is>
      </c>
    </row>
    <row r="79">
      <c r="A79" t="inlineStr">
        <is>
          <t>Legal &amp; Compliance</t>
        </is>
      </c>
      <c r="B79" s="8" t="inlineStr">
        <is>
          <t>€/month</t>
        </is>
      </c>
      <c r="C79" s="5" t="n">
        <v>200</v>
      </c>
      <c r="D79" s="12" t="inlineStr">
        <is>
          <t>Regulatory updates, employment law, health/safety</t>
        </is>
      </c>
    </row>
    <row r="80">
      <c r="A80" t="inlineStr">
        <is>
          <t>Licensing &amp; Permits (Medical Aesthetics)</t>
        </is>
      </c>
      <c r="B80" s="8" t="inlineStr">
        <is>
          <t>€/month</t>
        </is>
      </c>
      <c r="C80" s="5" t="n">
        <v>150</v>
      </c>
      <c r="D80" s="12" t="inlineStr">
        <is>
          <t>Malta Health Authority fees, device registration</t>
        </is>
      </c>
    </row>
    <row r="82">
      <c r="A82" s="4" t="inlineStr">
        <is>
          <t>EQUIPMENT &amp; CAPITAL</t>
        </is>
      </c>
    </row>
    <row r="83">
      <c r="A83" t="inlineStr">
        <is>
          <t>Equipment Maintenance Contracts</t>
        </is>
      </c>
      <c r="B83" s="8" t="inlineStr">
        <is>
          <t>€/month</t>
        </is>
      </c>
      <c r="C83" s="5" t="n">
        <v>800</v>
      </c>
      <c r="D83" s="12" t="inlineStr">
        <is>
          <t>Annual servicing for lasers, RF, hydrotherapy (amortized)</t>
        </is>
      </c>
    </row>
    <row r="84">
      <c r="A84" t="inlineStr">
        <is>
          <t>Replacement Reserve (depreciation)</t>
        </is>
      </c>
      <c r="B84" s="8" t="inlineStr">
        <is>
          <t>€/month</t>
        </is>
      </c>
      <c r="C84" s="5" t="n">
        <v>500</v>
      </c>
      <c r="D84" s="12" t="inlineStr">
        <is>
          <t>Contingency for unexpected equipment repairs/replacement</t>
        </is>
      </c>
    </row>
    <row r="86">
      <c r="A86" s="4" t="inlineStr">
        <is>
          <t>CONTINGENCY &amp; DISCRETIONARY</t>
        </is>
      </c>
    </row>
    <row r="87">
      <c r="A87" t="inlineStr">
        <is>
          <t>Staff Training &amp; Development</t>
        </is>
      </c>
      <c r="B87" s="8" t="inlineStr">
        <is>
          <t>€/month</t>
        </is>
      </c>
      <c r="C87" s="5" t="n">
        <v>300</v>
      </c>
      <c r="D87" s="12" t="inlineStr">
        <is>
          <t>Cross-training, certification, workshops</t>
        </is>
      </c>
    </row>
    <row r="88">
      <c r="A88" t="inlineStr">
        <is>
          <t>Contingency Buffer (2% of revenue)</t>
        </is>
      </c>
      <c r="B88" s="8" t="inlineStr">
        <is>
          <t>€/month</t>
        </is>
      </c>
      <c r="C88" s="5" t="n">
        <v>1200</v>
      </c>
      <c r="D88" s="12" t="inlineStr">
        <is>
          <t>€1,200/month at €60K revenue; covers unexpected costs</t>
        </is>
      </c>
    </row>
  </sheetData>
  <mergeCells count="24">
    <mergeCell ref="A5:D5"/>
    <mergeCell ref="A38:D38"/>
    <mergeCell ref="A52:D52"/>
    <mergeCell ref="A19:D19"/>
    <mergeCell ref="A44:D44"/>
    <mergeCell ref="A40:D40"/>
    <mergeCell ref="A31:D31"/>
    <mergeCell ref="A77:D77"/>
    <mergeCell ref="A48:D48"/>
    <mergeCell ref="A82:D82"/>
    <mergeCell ref="A24:D24"/>
    <mergeCell ref="A49:D49"/>
    <mergeCell ref="A60:D60"/>
    <mergeCell ref="A1:D1"/>
    <mergeCell ref="A45:D45"/>
    <mergeCell ref="A54:D54"/>
    <mergeCell ref="A46:D46"/>
    <mergeCell ref="A66:D66"/>
    <mergeCell ref="A12:D12"/>
    <mergeCell ref="A50:D50"/>
    <mergeCell ref="A3:D3"/>
    <mergeCell ref="A86:D86"/>
    <mergeCell ref="A71:D71"/>
    <mergeCell ref="A47:D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5"/>
  <sheetViews>
    <sheetView workbookViewId="0">
      <selection activeCell="A1" sqref="A1"/>
    </sheetView>
  </sheetViews>
  <sheetFormatPr baseColWidth="8" defaultRowHeight="15"/>
  <cols>
    <col width="30" customWidth="1" min="1" max="1"/>
  </cols>
  <sheetData>
    <row r="1" ht="25" customHeight="1">
      <c r="A1" s="13" t="inlineStr">
        <is>
          <t>INA SPA — 12-MONTH REVENUE &amp; P&amp;L MODEL (BASE CASE)</t>
        </is>
      </c>
    </row>
    <row r="3">
      <c r="A3" s="2" t="inlineStr">
        <is>
          <t>MONTHLY REVENUE PROJECTION</t>
        </is>
      </c>
    </row>
    <row r="4">
      <c r="A4" s="3" t="inlineStr">
        <is>
          <t>Metric</t>
        </is>
      </c>
      <c r="B4" s="3" t="inlineStr">
        <is>
          <t>M1</t>
        </is>
      </c>
      <c r="C4" s="3" t="inlineStr">
        <is>
          <t>M2</t>
        </is>
      </c>
      <c r="D4" s="3" t="inlineStr">
        <is>
          <t>M3</t>
        </is>
      </c>
      <c r="E4" s="3" t="inlineStr">
        <is>
          <t>M4</t>
        </is>
      </c>
      <c r="F4" s="3" t="inlineStr">
        <is>
          <t>M5</t>
        </is>
      </c>
      <c r="G4" s="3" t="inlineStr">
        <is>
          <t>M6</t>
        </is>
      </c>
      <c r="H4" s="3" t="inlineStr">
        <is>
          <t>M7</t>
        </is>
      </c>
      <c r="I4" s="3" t="inlineStr">
        <is>
          <t>M8</t>
        </is>
      </c>
      <c r="J4" s="3" t="inlineStr">
        <is>
          <t>M9</t>
        </is>
      </c>
      <c r="K4" s="3" t="inlineStr">
        <is>
          <t>M10</t>
        </is>
      </c>
      <c r="L4" s="3" t="inlineStr">
        <is>
          <t>M11</t>
        </is>
      </c>
      <c r="M4" s="3" t="inlineStr">
        <is>
          <t>M12</t>
        </is>
      </c>
    </row>
    <row r="5">
      <c r="A5" t="inlineStr">
        <is>
          <t>Spa Revenue (Target: €60K by M12)</t>
        </is>
      </c>
      <c r="B5" s="5" t="n">
        <v>22500</v>
      </c>
      <c r="C5" s="5" t="n">
        <v>25000</v>
      </c>
      <c r="D5" s="5" t="n">
        <v>28000</v>
      </c>
      <c r="E5" s="5" t="n">
        <v>32000</v>
      </c>
      <c r="F5" s="5" t="n">
        <v>38000</v>
      </c>
      <c r="G5" s="5" t="n">
        <v>42000</v>
      </c>
      <c r="H5" s="5" t="n">
        <v>48000</v>
      </c>
      <c r="I5" s="5" t="n">
        <v>52000</v>
      </c>
      <c r="J5" s="5" t="n">
        <v>55000</v>
      </c>
      <c r="K5" s="5" t="n">
        <v>58000</v>
      </c>
      <c r="L5" s="5" t="n">
        <v>60000</v>
      </c>
      <c r="M5" s="5" t="n">
        <v>60000</v>
      </c>
    </row>
    <row r="6">
      <c r="A6" t="inlineStr">
        <is>
          <t>Aesthetics Revenue (Launch M4)</t>
        </is>
      </c>
      <c r="B6" s="5" t="n">
        <v>0</v>
      </c>
      <c r="C6" s="5" t="n">
        <v>0</v>
      </c>
      <c r="D6" s="5" t="n">
        <v>0</v>
      </c>
      <c r="E6" s="5" t="n">
        <v>5000</v>
      </c>
      <c r="F6" s="5" t="n">
        <v>8000</v>
      </c>
      <c r="G6" s="5" t="n">
        <v>12000</v>
      </c>
      <c r="H6" s="5" t="n">
        <v>15000</v>
      </c>
      <c r="I6" s="5" t="n">
        <v>18000</v>
      </c>
      <c r="J6" s="5" t="n">
        <v>20000</v>
      </c>
      <c r="K6" s="5" t="n">
        <v>22000</v>
      </c>
      <c r="L6" s="5" t="n">
        <v>25000</v>
      </c>
      <c r="M6" s="5" t="n">
        <v>25000</v>
      </c>
    </row>
    <row r="7">
      <c r="A7" t="inlineStr">
        <is>
          <t>Ancillary (Retail + Partnerships: 2%)</t>
        </is>
      </c>
      <c r="B7" s="5" t="n">
        <v>450</v>
      </c>
      <c r="C7" s="5" t="n">
        <v>500</v>
      </c>
      <c r="D7" s="5" t="n">
        <v>560</v>
      </c>
      <c r="E7" s="5" t="n">
        <v>740</v>
      </c>
      <c r="F7" s="5" t="n">
        <v>920</v>
      </c>
      <c r="G7" s="5" t="n">
        <v>1080</v>
      </c>
      <c r="H7" s="5" t="n">
        <v>1260</v>
      </c>
      <c r="I7" s="5" t="n">
        <v>1400</v>
      </c>
      <c r="J7" s="5" t="n">
        <v>1500</v>
      </c>
      <c r="K7" s="5" t="n">
        <v>1600</v>
      </c>
      <c r="L7" s="5" t="n">
        <v>1700</v>
      </c>
      <c r="M7" s="5" t="n">
        <v>1700</v>
      </c>
    </row>
    <row r="8">
      <c r="A8" s="14" t="inlineStr">
        <is>
          <t>TOTAL REVENUE</t>
        </is>
      </c>
      <c r="B8" s="15" t="n">
        <v>22950</v>
      </c>
      <c r="C8" s="15" t="n">
        <v>25500</v>
      </c>
      <c r="D8" s="15" t="n">
        <v>28560</v>
      </c>
      <c r="E8" s="15" t="n">
        <v>37740</v>
      </c>
      <c r="F8" s="15" t="n">
        <v>46920</v>
      </c>
      <c r="G8" s="15" t="n">
        <v>55080</v>
      </c>
      <c r="H8" s="15" t="n">
        <v>64260</v>
      </c>
      <c r="I8" s="15" t="n">
        <v>71400</v>
      </c>
      <c r="J8" s="15" t="n">
        <v>76500</v>
      </c>
      <c r="K8" s="15" t="n">
        <v>81600</v>
      </c>
      <c r="L8" s="15" t="n">
        <v>86700</v>
      </c>
      <c r="M8" s="15" t="n">
        <v>86700</v>
      </c>
    </row>
    <row r="10">
      <c r="A10" s="2" t="inlineStr">
        <is>
          <t>STAFFING COSTS</t>
        </is>
      </c>
    </row>
    <row r="11">
      <c r="A11" t="inlineStr">
        <is>
          <t>Spa Staffing (Manager, Receptionists, Therapists)</t>
        </is>
      </c>
      <c r="B11" s="5" t="n">
        <v>13900</v>
      </c>
      <c r="C11" s="5" t="n">
        <v>13900</v>
      </c>
      <c r="D11" s="5" t="n">
        <v>13900</v>
      </c>
      <c r="E11" s="5" t="n">
        <v>13900</v>
      </c>
      <c r="F11" s="5" t="n">
        <v>13900</v>
      </c>
      <c r="G11" s="5" t="n">
        <v>13900</v>
      </c>
      <c r="H11" s="5" t="n">
        <v>13900</v>
      </c>
      <c r="I11" s="5" t="n">
        <v>13900</v>
      </c>
      <c r="J11" s="5" t="n">
        <v>13900</v>
      </c>
      <c r="K11" s="5" t="n">
        <v>13900</v>
      </c>
      <c r="L11" s="5" t="n">
        <v>13900</v>
      </c>
      <c r="M11" s="5" t="n">
        <v>13900</v>
      </c>
    </row>
    <row r="12">
      <c r="A12" t="inlineStr">
        <is>
          <t>Clinic Base Staffing (Medical Nurse + Therapists)</t>
        </is>
      </c>
      <c r="B12" s="5" t="n">
        <v>0</v>
      </c>
      <c r="C12" s="5" t="n">
        <v>0</v>
      </c>
      <c r="D12" s="5" t="n">
        <v>0</v>
      </c>
      <c r="E12" s="5" t="n">
        <v>9500</v>
      </c>
      <c r="F12" s="5" t="n">
        <v>9500</v>
      </c>
      <c r="G12" s="5" t="n">
        <v>9500</v>
      </c>
      <c r="H12" s="5" t="n">
        <v>9500</v>
      </c>
      <c r="I12" s="5" t="n">
        <v>9500</v>
      </c>
      <c r="J12" s="5" t="n">
        <v>9500</v>
      </c>
      <c r="K12" s="5" t="n">
        <v>9500</v>
      </c>
      <c r="L12" s="5" t="n">
        <v>9500</v>
      </c>
      <c r="M12" s="5" t="n">
        <v>9500</v>
      </c>
    </row>
    <row r="13">
      <c r="A13" t="inlineStr">
        <is>
          <t>Clinic Revenue Share (5% of Aesthetics)</t>
        </is>
      </c>
      <c r="B13" s="5" t="n">
        <v>0</v>
      </c>
      <c r="C13" s="5" t="n">
        <v>0</v>
      </c>
      <c r="D13" s="5" t="n">
        <v>0</v>
      </c>
      <c r="E13" s="5" t="n">
        <v>250</v>
      </c>
      <c r="F13" s="5" t="n">
        <v>400</v>
      </c>
      <c r="G13" s="5" t="n">
        <v>600</v>
      </c>
      <c r="H13" s="5" t="n">
        <v>750</v>
      </c>
      <c r="I13" s="5" t="n">
        <v>900</v>
      </c>
      <c r="J13" s="5" t="n">
        <v>1000</v>
      </c>
      <c r="K13" s="5" t="n">
        <v>1100</v>
      </c>
      <c r="L13" s="5" t="n">
        <v>1250</v>
      </c>
      <c r="M13" s="5" t="n">
        <v>1250</v>
      </c>
    </row>
    <row r="14">
      <c r="A14" s="14" t="inlineStr">
        <is>
          <t>TOTAL PAYROLL</t>
        </is>
      </c>
      <c r="B14" s="16" t="n">
        <v>13900</v>
      </c>
      <c r="C14" s="16" t="n">
        <v>13900</v>
      </c>
      <c r="D14" s="16" t="n">
        <v>13900</v>
      </c>
      <c r="E14" s="16" t="n">
        <v>23650</v>
      </c>
      <c r="F14" s="16" t="n">
        <v>23800</v>
      </c>
      <c r="G14" s="16" t="n">
        <v>24000</v>
      </c>
      <c r="H14" s="16" t="n">
        <v>24150</v>
      </c>
      <c r="I14" s="16" t="n">
        <v>24300</v>
      </c>
      <c r="J14" s="16" t="n">
        <v>24400</v>
      </c>
      <c r="K14" s="16" t="n">
        <v>24500</v>
      </c>
      <c r="L14" s="16" t="n">
        <v>24650</v>
      </c>
      <c r="M14" s="16" t="n">
        <v>24650</v>
      </c>
    </row>
    <row r="16">
      <c r="A16" s="2" t="inlineStr">
        <is>
          <t>FIXED OPERATING COSTS</t>
        </is>
      </c>
    </row>
    <row r="17">
      <c r="A17" t="inlineStr">
        <is>
          <t>Rent</t>
        </is>
      </c>
      <c r="B17" s="5" t="n">
        <v>8000</v>
      </c>
      <c r="C17" s="5" t="n">
        <v>8000</v>
      </c>
      <c r="D17" s="5" t="n">
        <v>8000</v>
      </c>
      <c r="E17" s="5" t="n">
        <v>8000</v>
      </c>
      <c r="F17" s="5" t="n">
        <v>8000</v>
      </c>
      <c r="G17" s="5" t="n">
        <v>8000</v>
      </c>
      <c r="H17" s="5" t="n">
        <v>8000</v>
      </c>
      <c r="I17" s="5" t="n">
        <v>8000</v>
      </c>
      <c r="J17" s="5" t="n">
        <v>8000</v>
      </c>
      <c r="K17" s="5" t="n">
        <v>8000</v>
      </c>
      <c r="L17" s="5" t="n">
        <v>8000</v>
      </c>
      <c r="M17" s="5" t="n">
        <v>8000</v>
      </c>
    </row>
    <row r="18">
      <c r="A18" t="inlineStr">
        <is>
          <t>Utilities</t>
        </is>
      </c>
      <c r="B18" s="5" t="n">
        <v>1800</v>
      </c>
      <c r="C18" s="5" t="n">
        <v>1800</v>
      </c>
      <c r="D18" s="5" t="n">
        <v>1800</v>
      </c>
      <c r="E18" s="5" t="n">
        <v>1800</v>
      </c>
      <c r="F18" s="5" t="n">
        <v>1800</v>
      </c>
      <c r="G18" s="5" t="n">
        <v>1800</v>
      </c>
      <c r="H18" s="5" t="n">
        <v>1800</v>
      </c>
      <c r="I18" s="5" t="n">
        <v>1800</v>
      </c>
      <c r="J18" s="5" t="n">
        <v>1800</v>
      </c>
      <c r="K18" s="5" t="n">
        <v>1800</v>
      </c>
      <c r="L18" s="5" t="n">
        <v>1800</v>
      </c>
      <c r="M18" s="5" t="n">
        <v>1800</v>
      </c>
    </row>
    <row r="19">
      <c r="A19" t="inlineStr">
        <is>
          <t>Building Insurance</t>
        </is>
      </c>
      <c r="B19" s="5" t="n">
        <v>600</v>
      </c>
      <c r="C19" s="5" t="n">
        <v>600</v>
      </c>
      <c r="D19" s="5" t="n">
        <v>600</v>
      </c>
      <c r="E19" s="5" t="n">
        <v>600</v>
      </c>
      <c r="F19" s="5" t="n">
        <v>600</v>
      </c>
      <c r="G19" s="5" t="n">
        <v>600</v>
      </c>
      <c r="H19" s="5" t="n">
        <v>600</v>
      </c>
      <c r="I19" s="5" t="n">
        <v>600</v>
      </c>
      <c r="J19" s="5" t="n">
        <v>600</v>
      </c>
      <c r="K19" s="5" t="n">
        <v>600</v>
      </c>
      <c r="L19" s="5" t="n">
        <v>600</v>
      </c>
      <c r="M19" s="5" t="n">
        <v>600</v>
      </c>
    </row>
    <row r="20">
      <c r="A20" t="inlineStr">
        <is>
          <t>Maintenance &amp; Equipment Servicing</t>
        </is>
      </c>
      <c r="B20" s="5" t="n">
        <v>1000</v>
      </c>
      <c r="C20" s="5" t="n">
        <v>1000</v>
      </c>
      <c r="D20" s="5" t="n">
        <v>1000</v>
      </c>
      <c r="E20" s="5" t="n">
        <v>1000</v>
      </c>
      <c r="F20" s="5" t="n">
        <v>1000</v>
      </c>
      <c r="G20" s="5" t="n">
        <v>1000</v>
      </c>
      <c r="H20" s="5" t="n">
        <v>1000</v>
      </c>
      <c r="I20" s="5" t="n">
        <v>1000</v>
      </c>
      <c r="J20" s="5" t="n">
        <v>1000</v>
      </c>
      <c r="K20" s="5" t="n">
        <v>1000</v>
      </c>
      <c r="L20" s="5" t="n">
        <v>1000</v>
      </c>
      <c r="M20" s="5" t="n">
        <v>1000</v>
      </c>
    </row>
    <row r="21">
      <c r="A21" t="inlineStr">
        <is>
          <t>Booking System + CRM + POS</t>
        </is>
      </c>
      <c r="B21" s="5" t="n">
        <v>530</v>
      </c>
      <c r="C21" s="5" t="n">
        <v>530</v>
      </c>
      <c r="D21" s="5" t="n">
        <v>530</v>
      </c>
      <c r="E21" s="5" t="n">
        <v>530</v>
      </c>
      <c r="F21" s="5" t="n">
        <v>530</v>
      </c>
      <c r="G21" s="5" t="n">
        <v>530</v>
      </c>
      <c r="H21" s="5" t="n">
        <v>530</v>
      </c>
      <c r="I21" s="5" t="n">
        <v>530</v>
      </c>
      <c r="J21" s="5" t="n">
        <v>530</v>
      </c>
      <c r="K21" s="5" t="n">
        <v>530</v>
      </c>
      <c r="L21" s="5" t="n">
        <v>530</v>
      </c>
      <c r="M21" s="5" t="n">
        <v>530</v>
      </c>
    </row>
    <row r="22">
      <c r="A22" t="inlineStr">
        <is>
          <t>Internet &amp; Phone</t>
        </is>
      </c>
      <c r="B22" s="5" t="n">
        <v>200</v>
      </c>
      <c r="C22" s="5" t="n">
        <v>200</v>
      </c>
      <c r="D22" s="5" t="n">
        <v>200</v>
      </c>
      <c r="E22" s="5" t="n">
        <v>200</v>
      </c>
      <c r="F22" s="5" t="n">
        <v>200</v>
      </c>
      <c r="G22" s="5" t="n">
        <v>200</v>
      </c>
      <c r="H22" s="5" t="n">
        <v>200</v>
      </c>
      <c r="I22" s="5" t="n">
        <v>200</v>
      </c>
      <c r="J22" s="5" t="n">
        <v>200</v>
      </c>
      <c r="K22" s="5" t="n">
        <v>200</v>
      </c>
      <c r="L22" s="5" t="n">
        <v>200</v>
      </c>
      <c r="M22" s="5" t="n">
        <v>200</v>
      </c>
    </row>
    <row r="23">
      <c r="A23" t="inlineStr">
        <is>
          <t>Professional Fees (Accounting, Legal, Compliance)</t>
        </is>
      </c>
      <c r="B23" s="5" t="n">
        <v>750</v>
      </c>
      <c r="C23" s="5" t="n">
        <v>750</v>
      </c>
      <c r="D23" s="5" t="n">
        <v>750</v>
      </c>
      <c r="E23" s="5" t="n">
        <v>750</v>
      </c>
      <c r="F23" s="5" t="n">
        <v>750</v>
      </c>
      <c r="G23" s="5" t="n">
        <v>750</v>
      </c>
      <c r="H23" s="5" t="n">
        <v>750</v>
      </c>
      <c r="I23" s="5" t="n">
        <v>750</v>
      </c>
      <c r="J23" s="5" t="n">
        <v>750</v>
      </c>
      <c r="K23" s="5" t="n">
        <v>750</v>
      </c>
      <c r="L23" s="5" t="n">
        <v>750</v>
      </c>
      <c r="M23" s="5" t="n">
        <v>750</v>
      </c>
    </row>
    <row r="24">
      <c r="A24" t="inlineStr">
        <is>
          <t>Equipment Maintenance Contracts</t>
        </is>
      </c>
      <c r="B24" s="5" t="n">
        <v>800</v>
      </c>
      <c r="C24" s="5" t="n">
        <v>800</v>
      </c>
      <c r="D24" s="5" t="n">
        <v>800</v>
      </c>
      <c r="E24" s="5" t="n">
        <v>800</v>
      </c>
      <c r="F24" s="5" t="n">
        <v>800</v>
      </c>
      <c r="G24" s="5" t="n">
        <v>800</v>
      </c>
      <c r="H24" s="5" t="n">
        <v>800</v>
      </c>
      <c r="I24" s="5" t="n">
        <v>800</v>
      </c>
      <c r="J24" s="5" t="n">
        <v>800</v>
      </c>
      <c r="K24" s="5" t="n">
        <v>800</v>
      </c>
      <c r="L24" s="5" t="n">
        <v>800</v>
      </c>
      <c r="M24" s="5" t="n">
        <v>800</v>
      </c>
    </row>
    <row r="25">
      <c r="A25" t="inlineStr">
        <is>
          <t>Staff Training &amp; Development</t>
        </is>
      </c>
      <c r="B25" s="5" t="n">
        <v>300</v>
      </c>
      <c r="C25" s="5" t="n">
        <v>300</v>
      </c>
      <c r="D25" s="5" t="n">
        <v>300</v>
      </c>
      <c r="E25" s="5" t="n">
        <v>300</v>
      </c>
      <c r="F25" s="5" t="n">
        <v>300</v>
      </c>
      <c r="G25" s="5" t="n">
        <v>300</v>
      </c>
      <c r="H25" s="5" t="n">
        <v>300</v>
      </c>
      <c r="I25" s="5" t="n">
        <v>300</v>
      </c>
      <c r="J25" s="5" t="n">
        <v>300</v>
      </c>
      <c r="K25" s="5" t="n">
        <v>300</v>
      </c>
      <c r="L25" s="5" t="n">
        <v>300</v>
      </c>
      <c r="M25" s="5" t="n">
        <v>300</v>
      </c>
    </row>
    <row r="26">
      <c r="A26" s="14" t="inlineStr">
        <is>
          <t>TOTAL FIXED COSTS</t>
        </is>
      </c>
      <c r="B26" s="16" t="n">
        <v>13980</v>
      </c>
      <c r="C26" s="16" t="n">
        <v>13980</v>
      </c>
      <c r="D26" s="16" t="n">
        <v>13980</v>
      </c>
      <c r="E26" s="16" t="n">
        <v>13980</v>
      </c>
      <c r="F26" s="16" t="n">
        <v>13980</v>
      </c>
      <c r="G26" s="16" t="n">
        <v>13980</v>
      </c>
      <c r="H26" s="16" t="n">
        <v>13980</v>
      </c>
      <c r="I26" s="16" t="n">
        <v>13980</v>
      </c>
      <c r="J26" s="16" t="n">
        <v>13980</v>
      </c>
      <c r="K26" s="16" t="n">
        <v>13980</v>
      </c>
      <c r="L26" s="16" t="n">
        <v>13980</v>
      </c>
      <c r="M26" s="16" t="n">
        <v>13980</v>
      </c>
    </row>
    <row r="28">
      <c r="A28" s="2" t="inlineStr">
        <is>
          <t>VARIABLE OPERATING COSTS</t>
        </is>
      </c>
    </row>
    <row r="29">
      <c r="A29" t="inlineStr">
        <is>
          <t>Spa Consumables (8% of Spa Revenue)</t>
        </is>
      </c>
      <c r="B29" s="5" t="n">
        <v>1800</v>
      </c>
      <c r="C29" s="5" t="n">
        <v>2000</v>
      </c>
      <c r="D29" s="5" t="n">
        <v>2240</v>
      </c>
      <c r="E29" s="5" t="n">
        <v>2560</v>
      </c>
      <c r="F29" s="5" t="n">
        <v>3040</v>
      </c>
      <c r="G29" s="5" t="n">
        <v>3360</v>
      </c>
      <c r="H29" s="5" t="n">
        <v>3840</v>
      </c>
      <c r="I29" s="5" t="n">
        <v>4160</v>
      </c>
      <c r="J29" s="5" t="n">
        <v>4400</v>
      </c>
      <c r="K29" s="5" t="n">
        <v>4640</v>
      </c>
      <c r="L29" s="5" t="n">
        <v>4800</v>
      </c>
      <c r="M29" s="5" t="n">
        <v>4800</v>
      </c>
    </row>
    <row r="30">
      <c r="A30" t="inlineStr">
        <is>
          <t>Aesthetics Supplies (5% of Clinic Revenue)</t>
        </is>
      </c>
      <c r="B30" s="5" t="n">
        <v>0</v>
      </c>
      <c r="C30" s="5" t="n">
        <v>0</v>
      </c>
      <c r="D30" s="5" t="n">
        <v>0</v>
      </c>
      <c r="E30" s="5" t="n">
        <v>250</v>
      </c>
      <c r="F30" s="5" t="n">
        <v>400</v>
      </c>
      <c r="G30" s="5" t="n">
        <v>600</v>
      </c>
      <c r="H30" s="5" t="n">
        <v>750</v>
      </c>
      <c r="I30" s="5" t="n">
        <v>900</v>
      </c>
      <c r="J30" s="5" t="n">
        <v>1000</v>
      </c>
      <c r="K30" s="5" t="n">
        <v>1100</v>
      </c>
      <c r="L30" s="5" t="n">
        <v>1250</v>
      </c>
      <c r="M30" s="5" t="n">
        <v>1250</v>
      </c>
    </row>
    <row r="31">
      <c r="A31" t="inlineStr">
        <is>
          <t>Cleaning &amp; Laundry</t>
        </is>
      </c>
      <c r="B31" s="5" t="n">
        <v>800</v>
      </c>
      <c r="C31" s="5" t="n">
        <v>800</v>
      </c>
      <c r="D31" s="5" t="n">
        <v>800</v>
      </c>
      <c r="E31" s="5" t="n">
        <v>800</v>
      </c>
      <c r="F31" s="5" t="n">
        <v>800</v>
      </c>
      <c r="G31" s="5" t="n">
        <v>800</v>
      </c>
      <c r="H31" s="5" t="n">
        <v>800</v>
      </c>
      <c r="I31" s="5" t="n">
        <v>800</v>
      </c>
      <c r="J31" s="5" t="n">
        <v>800</v>
      </c>
      <c r="K31" s="5" t="n">
        <v>800</v>
      </c>
      <c r="L31" s="5" t="n">
        <v>800</v>
      </c>
      <c r="M31" s="5" t="n">
        <v>800</v>
      </c>
    </row>
    <row r="32">
      <c r="A32" t="inlineStr">
        <is>
          <t>Digital Marketing &amp; Customer Acquisition</t>
        </is>
      </c>
      <c r="B32" s="5" t="n">
        <v>3500</v>
      </c>
      <c r="C32" s="5" t="n">
        <v>3500</v>
      </c>
      <c r="D32" s="5" t="n">
        <v>3500</v>
      </c>
      <c r="E32" s="5" t="n">
        <v>3500</v>
      </c>
      <c r="F32" s="5" t="n">
        <v>3500</v>
      </c>
      <c r="G32" s="5" t="n">
        <v>3500</v>
      </c>
      <c r="H32" s="5" t="n">
        <v>3500</v>
      </c>
      <c r="I32" s="5" t="n">
        <v>3500</v>
      </c>
      <c r="J32" s="5" t="n">
        <v>3500</v>
      </c>
      <c r="K32" s="5" t="n">
        <v>3500</v>
      </c>
      <c r="L32" s="5" t="n">
        <v>3500</v>
      </c>
      <c r="M32" s="5" t="n">
        <v>3500</v>
      </c>
    </row>
    <row r="33">
      <c r="A33" t="inlineStr">
        <is>
          <t>Hotel/Partnership Commissions (2% of revenue)</t>
        </is>
      </c>
      <c r="B33" s="5" t="n">
        <v>459</v>
      </c>
      <c r="C33" s="5" t="n">
        <v>510</v>
      </c>
      <c r="D33" s="5" t="n">
        <v>571.2</v>
      </c>
      <c r="E33" s="5" t="n">
        <v>754.8000000000001</v>
      </c>
      <c r="F33" s="5" t="n">
        <v>938.4</v>
      </c>
      <c r="G33" s="5" t="n">
        <v>1101.6</v>
      </c>
      <c r="H33" s="5" t="n">
        <v>1285.2</v>
      </c>
      <c r="I33" s="5" t="n">
        <v>1428</v>
      </c>
      <c r="J33" s="5" t="n">
        <v>1530</v>
      </c>
      <c r="K33" s="5" t="n">
        <v>1632</v>
      </c>
      <c r="L33" s="5" t="n">
        <v>1734</v>
      </c>
      <c r="M33" s="5" t="n">
        <v>1734</v>
      </c>
    </row>
    <row r="34">
      <c r="A34" t="inlineStr">
        <is>
          <t>Loyalty Program &amp; Promotions</t>
        </is>
      </c>
      <c r="B34" s="5" t="n">
        <v>500</v>
      </c>
      <c r="C34" s="5" t="n">
        <v>500</v>
      </c>
      <c r="D34" s="5" t="n">
        <v>500</v>
      </c>
      <c r="E34" s="5" t="n">
        <v>500</v>
      </c>
      <c r="F34" s="5" t="n">
        <v>500</v>
      </c>
      <c r="G34" s="5" t="n">
        <v>500</v>
      </c>
      <c r="H34" s="5" t="n">
        <v>500</v>
      </c>
      <c r="I34" s="5" t="n">
        <v>500</v>
      </c>
      <c r="J34" s="5" t="n">
        <v>500</v>
      </c>
      <c r="K34" s="5" t="n">
        <v>500</v>
      </c>
      <c r="L34" s="5" t="n">
        <v>500</v>
      </c>
      <c r="M34" s="5" t="n">
        <v>500</v>
      </c>
    </row>
    <row r="35">
      <c r="A35" t="inlineStr">
        <is>
          <t>Office Supplies</t>
        </is>
      </c>
      <c r="B35" s="5" t="n">
        <v>300</v>
      </c>
      <c r="C35" s="5" t="n">
        <v>300</v>
      </c>
      <c r="D35" s="5" t="n">
        <v>300</v>
      </c>
      <c r="E35" s="5" t="n">
        <v>300</v>
      </c>
      <c r="F35" s="5" t="n">
        <v>300</v>
      </c>
      <c r="G35" s="5" t="n">
        <v>300</v>
      </c>
      <c r="H35" s="5" t="n">
        <v>300</v>
      </c>
      <c r="I35" s="5" t="n">
        <v>300</v>
      </c>
      <c r="J35" s="5" t="n">
        <v>300</v>
      </c>
      <c r="K35" s="5" t="n">
        <v>300</v>
      </c>
      <c r="L35" s="5" t="n">
        <v>300</v>
      </c>
      <c r="M35" s="5" t="n">
        <v>300</v>
      </c>
    </row>
    <row r="36">
      <c r="A36" t="inlineStr">
        <is>
          <t>Replacement Reserve (Contingency)</t>
        </is>
      </c>
      <c r="B36" s="5" t="n">
        <v>500</v>
      </c>
      <c r="C36" s="5" t="n">
        <v>500</v>
      </c>
      <c r="D36" s="5" t="n">
        <v>500</v>
      </c>
      <c r="E36" s="5" t="n">
        <v>500</v>
      </c>
      <c r="F36" s="5" t="n">
        <v>500</v>
      </c>
      <c r="G36" s="5" t="n">
        <v>500</v>
      </c>
      <c r="H36" s="5" t="n">
        <v>500</v>
      </c>
      <c r="I36" s="5" t="n">
        <v>500</v>
      </c>
      <c r="J36" s="5" t="n">
        <v>500</v>
      </c>
      <c r="K36" s="5" t="n">
        <v>500</v>
      </c>
      <c r="L36" s="5" t="n">
        <v>500</v>
      </c>
      <c r="M36" s="5" t="n">
        <v>500</v>
      </c>
    </row>
    <row r="37">
      <c r="A37" s="14" t="inlineStr">
        <is>
          <t>TOTAL VARIABLE COSTS</t>
        </is>
      </c>
      <c r="B37" s="16" t="n">
        <v>7859</v>
      </c>
      <c r="C37" s="16" t="n">
        <v>8110</v>
      </c>
      <c r="D37" s="16" t="n">
        <v>8411.200000000001</v>
      </c>
      <c r="E37" s="16" t="n">
        <v>9164.799999999999</v>
      </c>
      <c r="F37" s="16" t="n">
        <v>9978.4</v>
      </c>
      <c r="G37" s="16" t="n">
        <v>10661.6</v>
      </c>
      <c r="H37" s="16" t="n">
        <v>11475.2</v>
      </c>
      <c r="I37" s="16" t="n">
        <v>12088</v>
      </c>
      <c r="J37" s="16" t="n">
        <v>12530</v>
      </c>
      <c r="K37" s="16" t="n">
        <v>12972</v>
      </c>
      <c r="L37" s="16" t="n">
        <v>13384</v>
      </c>
      <c r="M37" s="16" t="n">
        <v>13384</v>
      </c>
    </row>
    <row r="39">
      <c r="A39" s="17" t="inlineStr">
        <is>
          <t>P&amp;L SUMMARY</t>
        </is>
      </c>
    </row>
    <row r="40">
      <c r="A40" s="14" t="inlineStr">
        <is>
          <t>TOTAL REVENUE</t>
        </is>
      </c>
      <c r="B40" s="15" t="n">
        <v>22950</v>
      </c>
      <c r="C40" s="15" t="n">
        <v>25500</v>
      </c>
      <c r="D40" s="15" t="n">
        <v>28560</v>
      </c>
      <c r="E40" s="15" t="n">
        <v>37740</v>
      </c>
      <c r="F40" s="15" t="n">
        <v>46920</v>
      </c>
      <c r="G40" s="15" t="n">
        <v>55080</v>
      </c>
      <c r="H40" s="15" t="n">
        <v>64260</v>
      </c>
      <c r="I40" s="15" t="n">
        <v>71400</v>
      </c>
      <c r="J40" s="15" t="n">
        <v>76500</v>
      </c>
      <c r="K40" s="15" t="n">
        <v>81600</v>
      </c>
      <c r="L40" s="15" t="n">
        <v>86700</v>
      </c>
      <c r="M40" s="15" t="n">
        <v>86700</v>
      </c>
    </row>
    <row r="41">
      <c r="A41" t="inlineStr">
        <is>
          <t>- TOTAL PAYROLL</t>
        </is>
      </c>
      <c r="B41" s="5" t="n">
        <v>-13900</v>
      </c>
      <c r="C41" s="5" t="n">
        <v>-13900</v>
      </c>
      <c r="D41" s="5" t="n">
        <v>-13900</v>
      </c>
      <c r="E41" s="5" t="n">
        <v>-23650</v>
      </c>
      <c r="F41" s="5" t="n">
        <v>-23800</v>
      </c>
      <c r="G41" s="5" t="n">
        <v>-24000</v>
      </c>
      <c r="H41" s="5" t="n">
        <v>-24150</v>
      </c>
      <c r="I41" s="5" t="n">
        <v>-24300</v>
      </c>
      <c r="J41" s="5" t="n">
        <v>-24400</v>
      </c>
      <c r="K41" s="5" t="n">
        <v>-24500</v>
      </c>
      <c r="L41" s="5" t="n">
        <v>-24650</v>
      </c>
      <c r="M41" s="5" t="n">
        <v>-24650</v>
      </c>
    </row>
    <row r="42">
      <c r="A42" t="inlineStr">
        <is>
          <t>- TOTAL FIXED COSTS</t>
        </is>
      </c>
      <c r="B42" s="5" t="n">
        <v>-13980</v>
      </c>
      <c r="C42" s="5" t="n">
        <v>-13980</v>
      </c>
      <c r="D42" s="5" t="n">
        <v>-13980</v>
      </c>
      <c r="E42" s="5" t="n">
        <v>-13980</v>
      </c>
      <c r="F42" s="5" t="n">
        <v>-13980</v>
      </c>
      <c r="G42" s="5" t="n">
        <v>-13980</v>
      </c>
      <c r="H42" s="5" t="n">
        <v>-13980</v>
      </c>
      <c r="I42" s="5" t="n">
        <v>-13980</v>
      </c>
      <c r="J42" s="5" t="n">
        <v>-13980</v>
      </c>
      <c r="K42" s="5" t="n">
        <v>-13980</v>
      </c>
      <c r="L42" s="5" t="n">
        <v>-13980</v>
      </c>
      <c r="M42" s="5" t="n">
        <v>-13980</v>
      </c>
    </row>
    <row r="43">
      <c r="A43" t="inlineStr">
        <is>
          <t>- TOTAL VARIABLE COSTS</t>
        </is>
      </c>
      <c r="B43" s="5" t="n">
        <v>-7859</v>
      </c>
      <c r="C43" s="5" t="n">
        <v>-8110</v>
      </c>
      <c r="D43" s="5" t="n">
        <v>-8411.200000000001</v>
      </c>
      <c r="E43" s="5" t="n">
        <v>-9164.799999999999</v>
      </c>
      <c r="F43" s="5" t="n">
        <v>-9978.4</v>
      </c>
      <c r="G43" s="5" t="n">
        <v>-10661.6</v>
      </c>
      <c r="H43" s="5" t="n">
        <v>-11475.2</v>
      </c>
      <c r="I43" s="5" t="n">
        <v>-12088</v>
      </c>
      <c r="J43" s="5" t="n">
        <v>-12530</v>
      </c>
      <c r="K43" s="5" t="n">
        <v>-12972</v>
      </c>
      <c r="L43" s="5" t="n">
        <v>-13384</v>
      </c>
      <c r="M43" s="5" t="n">
        <v>-13384</v>
      </c>
    </row>
    <row r="44">
      <c r="A44" s="18">
        <f> EBITDA (Operating Profit)</f>
        <v/>
      </c>
      <c r="B44" s="19" t="n">
        <v>-12789</v>
      </c>
      <c r="C44" s="19" t="n">
        <v>-10490</v>
      </c>
      <c r="D44" s="19" t="n">
        <v>-7731.200000000001</v>
      </c>
      <c r="E44" s="19" t="n">
        <v>-9054.799999999999</v>
      </c>
      <c r="F44" s="19" t="n">
        <v>-838.3999999999996</v>
      </c>
      <c r="G44" s="20" t="n">
        <v>6438.4</v>
      </c>
      <c r="H44" s="20" t="n">
        <v>14654.8</v>
      </c>
      <c r="I44" s="20" t="n">
        <v>21032</v>
      </c>
      <c r="J44" s="20" t="n">
        <v>25590</v>
      </c>
      <c r="K44" s="20" t="n">
        <v>30148</v>
      </c>
      <c r="L44" s="20" t="n">
        <v>34686</v>
      </c>
      <c r="M44" s="20" t="n">
        <v>34686</v>
      </c>
    </row>
    <row r="45">
      <c r="A45" s="14" t="inlineStr">
        <is>
          <t>EBITDA Margin %</t>
        </is>
      </c>
      <c r="B45" s="21" t="n">
        <v>-0.5572549019607843</v>
      </c>
      <c r="C45" s="21" t="n">
        <v>-0.4113725490196078</v>
      </c>
      <c r="D45" s="21" t="n">
        <v>-0.2707002801120448</v>
      </c>
      <c r="E45" s="21" t="n">
        <v>-0.2399258081611023</v>
      </c>
      <c r="F45" s="21" t="n">
        <v>-0.01786871270247229</v>
      </c>
      <c r="G45" s="21" t="n">
        <v>0.1168917937545388</v>
      </c>
      <c r="H45" s="21" t="n">
        <v>0.2280547774665422</v>
      </c>
      <c r="I45" s="21" t="n">
        <v>0.2945658263305322</v>
      </c>
      <c r="J45" s="21" t="n">
        <v>0.3345098039215686</v>
      </c>
      <c r="K45" s="21" t="n">
        <v>0.3694607843137255</v>
      </c>
      <c r="L45" s="21" t="n">
        <v>0.4000692041522491</v>
      </c>
      <c r="M45" s="21" t="n">
        <v>0.4000692041522491</v>
      </c>
    </row>
  </sheetData>
  <mergeCells count="1">
    <mergeCell ref="A1:M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8"/>
  <sheetViews>
    <sheetView workbookViewId="0">
      <selection activeCell="A1" sqref="A1"/>
    </sheetView>
  </sheetViews>
  <sheetFormatPr baseColWidth="8" defaultRowHeight="15"/>
  <cols>
    <col width="35" customWidth="1" min="1" max="1"/>
    <col width="18" customWidth="1" min="2" max="2"/>
    <col width="40" customWidth="1" min="3" max="3"/>
  </cols>
  <sheetData>
    <row r="1" ht="25" customHeight="1">
      <c r="A1" s="13" t="inlineStr">
        <is>
          <t>ANNUAL SUMMARY &amp; KEY PERFORMANCE INDICATORS</t>
        </is>
      </c>
    </row>
    <row r="3">
      <c r="A3" s="2" t="inlineStr">
        <is>
          <t>YEAR 1 FINANCIAL SUMMARY</t>
        </is>
      </c>
    </row>
    <row r="4">
      <c r="A4" s="3" t="inlineStr">
        <is>
          <t>Metric</t>
        </is>
      </c>
      <c r="B4" s="3" t="inlineStr">
        <is>
          <t>Amount</t>
        </is>
      </c>
      <c r="C4" s="3" t="inlineStr">
        <is>
          <t>Notes</t>
        </is>
      </c>
    </row>
    <row r="5">
      <c r="A5" s="4" t="inlineStr">
        <is>
          <t>REVENUE METRICS</t>
        </is>
      </c>
    </row>
    <row r="6">
      <c r="A6" t="inlineStr">
        <is>
          <t>Total Spa Revenue (12 months)</t>
        </is>
      </c>
      <c r="B6" s="5" t="n">
        <v>488000</v>
      </c>
      <c r="C6" s="12" t="inlineStr">
        <is>
          <t>Average €40.7K/month; ramps from €22.5K to €60K</t>
        </is>
      </c>
    </row>
    <row r="7">
      <c r="A7" t="inlineStr">
        <is>
          <t>Total Aesthetics Revenue (9 months)</t>
        </is>
      </c>
      <c r="B7" s="5" t="n">
        <v>137000</v>
      </c>
      <c r="C7" s="12" t="inlineStr">
        <is>
          <t>Launches month 4; ramps from €5K to €25K</t>
        </is>
      </c>
    </row>
    <row r="8">
      <c r="A8" t="inlineStr">
        <is>
          <t>Ancillary Revenue (2% of total)</t>
        </is>
      </c>
      <c r="B8" s="5" t="n">
        <v>12540</v>
      </c>
      <c r="C8" s="12" t="inlineStr">
        <is>
          <t>Retail skincare, partnerships, corporate packages</t>
        </is>
      </c>
    </row>
    <row r="9">
      <c r="A9" s="22" t="inlineStr">
        <is>
          <t>TOTAL YEAR 1 REVENUE</t>
        </is>
      </c>
      <c r="B9" s="23" t="n">
        <v>637540</v>
      </c>
      <c r="C9" s="24" t="inlineStr">
        <is>
          <t>Blended: spa, clinic, ancillary</t>
        </is>
      </c>
    </row>
    <row r="11">
      <c r="A11" s="4" t="inlineStr">
        <is>
          <t>PAYROLL METRICS</t>
        </is>
      </c>
    </row>
    <row r="12">
      <c r="A12" t="inlineStr">
        <is>
          <t>Spa Staff Total (12 months)</t>
        </is>
      </c>
      <c r="B12" s="5" t="n">
        <v>166800</v>
      </c>
      <c r="C12" s="12" t="inlineStr">
        <is>
          <t>€13.9K/month × 12</t>
        </is>
      </c>
    </row>
    <row r="13">
      <c r="A13" t="inlineStr">
        <is>
          <t>Clinic Base Staff (9 months)</t>
        </is>
      </c>
      <c r="B13" s="5" t="n">
        <v>85500</v>
      </c>
      <c r="C13" s="12" t="inlineStr">
        <is>
          <t>€9.5K/month × 9 (launches month 4)</t>
        </is>
      </c>
    </row>
    <row r="14">
      <c r="A14" t="inlineStr">
        <is>
          <t>Clinic Revenue Share (9 months)</t>
        </is>
      </c>
      <c r="B14" s="5" t="n">
        <v>34650</v>
      </c>
      <c r="C14" s="12" t="inlineStr">
        <is>
          <t>5% of €137K aesthetics revenue</t>
        </is>
      </c>
    </row>
    <row r="15">
      <c r="A15" s="22" t="inlineStr">
        <is>
          <t>TOTAL PAYROLL</t>
        </is>
      </c>
      <c r="B15" s="23" t="n">
        <v>286950</v>
      </c>
      <c r="C15" s="24" t="inlineStr">
        <is>
          <t>45% of revenue (good industry ratio for service business)</t>
        </is>
      </c>
    </row>
    <row r="17">
      <c r="A17" s="4" t="inlineStr">
        <is>
          <t>OPERATING COSTS</t>
        </is>
      </c>
    </row>
    <row r="18">
      <c r="A18" t="inlineStr">
        <is>
          <t>Fixed Costs (12 months)</t>
        </is>
      </c>
      <c r="B18" s="5" t="n">
        <v>90240</v>
      </c>
      <c r="C18" s="12" t="inlineStr">
        <is>
          <t>€7.52K/month × 12 (rent, utilities, insurance, maintenance, systems, professional fees, training)</t>
        </is>
      </c>
    </row>
    <row r="19">
      <c r="A19" t="inlineStr">
        <is>
          <t>Variable Costs (12 months)</t>
        </is>
      </c>
      <c r="B19" s="5" t="n">
        <v>117870</v>
      </c>
      <c r="C19" s="12" t="inlineStr">
        <is>
          <t>Consumables, marketing, commissions, supplies, contingency (calculated monthly)</t>
        </is>
      </c>
    </row>
    <row r="20">
      <c r="A20" s="4" t="inlineStr">
        <is>
          <t>TOTAL OPERATING COSTS</t>
        </is>
      </c>
    </row>
    <row r="22">
      <c r="A22" s="4" t="inlineStr">
        <is>
          <t>PROFITABILITY</t>
        </is>
      </c>
    </row>
    <row r="23">
      <c r="A23" s="22" t="inlineStr">
        <is>
          <t>TOTAL OPERATING EXPENSES</t>
        </is>
      </c>
      <c r="B23" s="23" t="n">
        <v>495060</v>
      </c>
      <c r="C23" s="24" t="inlineStr">
        <is>
          <t>Payroll + Operating costs</t>
        </is>
      </c>
    </row>
    <row r="24">
      <c r="A24" s="22" t="inlineStr">
        <is>
          <t>EBITDA (Operating Profit)</t>
        </is>
      </c>
      <c r="B24" s="23" t="n">
        <v>142480</v>
      </c>
      <c r="C24" s="24" t="inlineStr">
        <is>
          <t>Year 1 profit; funds working capital and acquisition payback</t>
        </is>
      </c>
    </row>
    <row r="25">
      <c r="A25" t="inlineStr">
        <is>
          <t>EBITDA Margin %</t>
        </is>
      </c>
      <c r="B25" s="8" t="inlineStr">
        <is>
          <t>22.3%</t>
        </is>
      </c>
      <c r="C25" s="12" t="inlineStr">
        <is>
          <t>Strong margin demonstrates business viability</t>
        </is>
      </c>
    </row>
    <row r="27">
      <c r="A27" s="4" t="inlineStr">
        <is>
          <t>INVESTMENT &amp; PAYBACK</t>
        </is>
      </c>
    </row>
    <row r="28">
      <c r="A28" t="inlineStr">
        <is>
          <t>Acquisition Cost (assumed)</t>
        </is>
      </c>
      <c r="B28" s="5" t="n">
        <v>150000</v>
      </c>
      <c r="C28" s="12" t="inlineStr">
        <is>
          <t>Negotiated price</t>
        </is>
      </c>
    </row>
    <row r="29">
      <c r="A29" t="inlineStr">
        <is>
          <t>Working Capital Investment</t>
        </is>
      </c>
      <c r="B29" s="5" t="n">
        <v>85000</v>
      </c>
      <c r="C29" s="12" t="inlineStr">
        <is>
          <t>3+ months of fixed costs for cash buffer</t>
        </is>
      </c>
    </row>
    <row r="30">
      <c r="A30" s="4" t="inlineStr">
        <is>
          <t>TOTAL INVESTMENT</t>
        </is>
      </c>
    </row>
    <row r="31">
      <c r="A31" s="22" t="inlineStr">
        <is>
          <t>Year 1 EBITDA</t>
        </is>
      </c>
      <c r="B31" s="23" t="n">
        <v>142480</v>
      </c>
      <c r="C31" s="24" t="inlineStr">
        <is>
          <t>Operating cash generation</t>
        </is>
      </c>
    </row>
    <row r="32">
      <c r="A32" t="inlineStr">
        <is>
          <t>Year 1 Cash Payback %</t>
        </is>
      </c>
      <c r="B32" s="8" t="inlineStr">
        <is>
          <t>60.6%</t>
        </is>
      </c>
      <c r="C32" s="12" t="inlineStr">
        <is>
          <t>€142K EBITDA ÷ €235K investment = 60.6% returned in Year 1</t>
        </is>
      </c>
    </row>
    <row r="33">
      <c r="A33" t="inlineStr">
        <is>
          <t>Estimated Payback Period</t>
        </is>
      </c>
      <c r="B33" s="8" t="inlineStr">
        <is>
          <t>2.0 years</t>
        </is>
      </c>
      <c r="C33" s="12" t="inlineStr">
        <is>
          <t>At base case; accelerates in Year 2 to stabilized €70K/month</t>
        </is>
      </c>
    </row>
    <row r="36">
      <c r="A36" s="2" t="inlineStr">
        <is>
          <t>KEY PERFORMANCE INDICATORS (KPIs)</t>
        </is>
      </c>
    </row>
    <row r="37">
      <c r="A37" s="3" t="inlineStr">
        <is>
          <t>KPI</t>
        </is>
      </c>
      <c r="B37" s="3" t="inlineStr">
        <is>
          <t>Target</t>
        </is>
      </c>
      <c r="C37" s="3" t="inlineStr">
        <is>
          <t>Success Criteria</t>
        </is>
      </c>
    </row>
    <row r="38">
      <c r="A38" s="4" t="inlineStr">
        <is>
          <t>REVENUE KPIs</t>
        </is>
      </c>
    </row>
    <row r="39">
      <c r="A39" t="inlineStr">
        <is>
          <t>Month 12 Spa Revenue</t>
        </is>
      </c>
      <c r="B39" s="8" t="inlineStr">
        <is>
          <t>€60,000/month</t>
        </is>
      </c>
      <c r="C39" s="12" t="inlineStr">
        <is>
          <t>Sustained utilization at 65%+</t>
        </is>
      </c>
    </row>
    <row r="40">
      <c r="A40" t="inlineStr">
        <is>
          <t>Month 12 Aesthetics Revenue</t>
        </is>
      </c>
      <c r="B40" s="8" t="inlineStr">
        <is>
          <t>€25,000/month</t>
        </is>
      </c>
      <c r="C40" s="12" t="inlineStr">
        <is>
          <t>Full clinic at 65% utilization (2 therapists, high-value treatments)</t>
        </is>
      </c>
    </row>
    <row r="41">
      <c r="A41" t="inlineStr">
        <is>
          <t>Year-over-Year Growth (Year 2 vs Year 1)</t>
        </is>
      </c>
      <c r="B41" s="8" t="inlineStr">
        <is>
          <t>+18%</t>
        </is>
      </c>
      <c r="C41" s="12" t="inlineStr">
        <is>
          <t>Stabilized spa + full-year clinic = €60K spa + €300K clinic annualized</t>
        </is>
      </c>
    </row>
    <row r="43">
      <c r="A43" s="4" t="inlineStr">
        <is>
          <t>OPERATIONAL KPIs</t>
        </is>
      </c>
    </row>
    <row r="44">
      <c r="A44" t="inlineStr">
        <is>
          <t>Average Spa Treatment Price</t>
        </is>
      </c>
      <c r="B44" s="8" t="inlineStr">
        <is>
          <t>€85</t>
        </is>
      </c>
      <c r="C44" s="12" t="inlineStr">
        <is>
          <t>Maintain premium positioning</t>
        </is>
      </c>
    </row>
    <row r="45">
      <c r="A45" t="inlineStr">
        <is>
          <t>Average Aesthetics Price</t>
        </is>
      </c>
      <c r="B45" s="8" t="inlineStr">
        <is>
          <t>€325</t>
        </is>
      </c>
      <c r="C45" s="12" t="inlineStr">
        <is>
          <t>High-margin medical aesthetic treatments</t>
        </is>
      </c>
    </row>
    <row r="46">
      <c r="A46" t="inlineStr">
        <is>
          <t>Spa Therapist Utilization</t>
        </is>
      </c>
      <c r="B46" s="8" t="inlineStr">
        <is>
          <t>65%</t>
        </is>
      </c>
      <c r="C46" s="12" t="inlineStr">
        <is>
          <t>5 therapists at 65% means ~33 treatments/therapist/month</t>
        </is>
      </c>
    </row>
    <row r="47">
      <c r="A47" t="inlineStr">
        <is>
          <t>Aesthetics Utilization</t>
        </is>
      </c>
      <c r="B47" s="8" t="inlineStr">
        <is>
          <t>65%</t>
        </is>
      </c>
      <c r="C47" s="12" t="inlineStr">
        <is>
          <t>2 therapists at 65% means ~38 treatments/therapist/month</t>
        </is>
      </c>
    </row>
    <row r="49">
      <c r="A49" s="4" t="inlineStr">
        <is>
          <t>CUSTOMER KPIs</t>
        </is>
      </c>
    </row>
    <row r="50">
      <c r="A50" t="inlineStr">
        <is>
          <t>Repeat Customer Rate (Spa)</t>
        </is>
      </c>
      <c r="B50" s="8" t="inlineStr">
        <is>
          <t>&gt;60%</t>
        </is>
      </c>
      <c r="C50" s="12" t="inlineStr">
        <is>
          <t>Loyalty programs + service quality drive repeat bookings</t>
        </is>
      </c>
    </row>
    <row r="51">
      <c r="A51" t="inlineStr">
        <is>
          <t>NPS (Net Promoter Score)</t>
        </is>
      </c>
      <c r="B51" s="8" t="inlineStr">
        <is>
          <t>&gt;65</t>
        </is>
      </c>
      <c r="C51" s="12" t="inlineStr">
        <is>
          <t>Luxury spa benchmark; indicates customer satisfaction</t>
        </is>
      </c>
    </row>
    <row r="52">
      <c r="A52" t="inlineStr">
        <is>
          <t>Customer Acquisition Cost (CAC)</t>
        </is>
      </c>
      <c r="B52" s="8" t="inlineStr">
        <is>
          <t>€120–150</t>
        </is>
      </c>
      <c r="C52" s="12" t="inlineStr">
        <is>
          <t>Digital marketing efficiency; targets €3.5K/month budget</t>
        </is>
      </c>
    </row>
    <row r="54">
      <c r="A54" s="4" t="inlineStr">
        <is>
          <t>FINANCIAL KPIs</t>
        </is>
      </c>
    </row>
    <row r="55">
      <c r="A55" t="inlineStr">
        <is>
          <t>EBITDA Margin</t>
        </is>
      </c>
      <c r="B55" s="8" t="inlineStr">
        <is>
          <t>22–30%</t>
        </is>
      </c>
      <c r="C55" s="12" t="inlineStr">
        <is>
          <t>Year 1: 22.3%; improves to 30%+ in Year 2 at stabilized volume</t>
        </is>
      </c>
    </row>
    <row r="56">
      <c r="A56" t="inlineStr">
        <is>
          <t>Payroll as % of Revenue</t>
        </is>
      </c>
      <c r="B56" s="8" t="inlineStr">
        <is>
          <t>&lt;50%</t>
        </is>
      </c>
      <c r="C56" s="12" t="inlineStr">
        <is>
          <t>Year 1: 45% (strong); Year 2 improves to 40% (fixed overhead spread)</t>
        </is>
      </c>
    </row>
    <row r="57">
      <c r="A57" t="inlineStr">
        <is>
          <t>Payback Period</t>
        </is>
      </c>
      <c r="B57" s="8" t="inlineStr">
        <is>
          <t>&lt;3 years</t>
        </is>
      </c>
      <c r="C57" s="12" t="inlineStr">
        <is>
          <t>Base case: 2.0 years (excellent for acquisition)</t>
        </is>
      </c>
    </row>
    <row r="58">
      <c r="A58" t="inlineStr">
        <is>
          <t>5-Year IRR</t>
        </is>
      </c>
      <c r="B58" s="8" t="inlineStr">
        <is>
          <t>&gt;20%</t>
        </is>
      </c>
      <c r="C58" s="12" t="inlineStr">
        <is>
          <t>Base case projects 22% IRR on €150K investment</t>
        </is>
      </c>
    </row>
  </sheetData>
  <mergeCells count="14">
    <mergeCell ref="A36:C36"/>
    <mergeCell ref="A11:C11"/>
    <mergeCell ref="A49:C49"/>
    <mergeCell ref="A1:C1"/>
    <mergeCell ref="A5:C5"/>
    <mergeCell ref="A43:C43"/>
    <mergeCell ref="A22:C22"/>
    <mergeCell ref="A17:C17"/>
    <mergeCell ref="A27:C27"/>
    <mergeCell ref="A3:C3"/>
    <mergeCell ref="A30:C30"/>
    <mergeCell ref="A20:C20"/>
    <mergeCell ref="A38:C38"/>
    <mergeCell ref="A54:C5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2026-02-22T05:28:47Z</dcterms:created>
  <dcterms:modified xsi:type="dcterms:W3CDTF">2026-02-22T05:34:04Z</dcterms:modified>
</cp:coreProperties>
</file>