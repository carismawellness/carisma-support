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Staffing" sheetId="1" state="visible" r:id="rId1"/>
    <sheet name="Monthly P&amp;L - Detailed" sheetId="2" state="visible" r:id="rId2"/>
    <sheet name="Annual Summary &amp; KPIs" sheetId="3" state="visible" r:id="rId3"/>
    <sheet name="Negotiation &amp; Key Considerations" sheetId="4" state="visible" r:id="rId4"/>
    <sheet name="Sensitivity 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€#,##0"/>
    <numFmt numFmtId="165" formatCode="0.0%"/>
    <numFmt numFmtId="166" formatCode="0.0"/>
  </numFmts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  <sz val="10"/>
    </font>
    <font>
      <b val="1"/>
    </font>
    <font>
      <b val="1"/>
      <sz val="12"/>
    </font>
    <font>
      <b val="1"/>
      <color rgb="00C00000"/>
      <sz val="11"/>
    </font>
    <font>
      <i val="1"/>
      <sz val="10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00B050"/>
        <bgColor rgb="0000B050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  <fill>
      <patternFill patternType="solid">
        <fgColor rgb="00C6E0B4"/>
        <bgColor rgb="00C6E0B4"/>
      </patternFill>
    </fill>
    <fill>
      <patternFill patternType="solid">
        <fgColor rgb="00FCE4D6"/>
        <bgColor rgb="00FCE4D6"/>
      </patternFill>
    </fill>
    <fill>
      <patternFill patternType="solid">
        <fgColor rgb="00F4B084"/>
        <bgColor rgb="00F4B0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0" pivotButton="0" quotePrefix="0" xfId="0"/>
    <xf numFmtId="0" fontId="1" fillId="5" borderId="0" pivotButton="0" quotePrefix="0" xfId="0"/>
    <xf numFmtId="164" fontId="1" fillId="5" borderId="0" pivotButton="0" quotePrefix="0" xfId="0"/>
    <xf numFmtId="164" fontId="5" fillId="6" borderId="0" pivotButton="0" quotePrefix="0" xfId="0"/>
    <xf numFmtId="164" fontId="5" fillId="5" borderId="0" pivotButton="0" quotePrefix="0" xfId="0"/>
    <xf numFmtId="165" fontId="4" fillId="0" borderId="0" pivotButton="0" quotePrefix="0" xfId="0"/>
    <xf numFmtId="0" fontId="6" fillId="7" borderId="0" pivotButton="0" quotePrefix="0" xfId="0"/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/>
    </xf>
    <xf numFmtId="0" fontId="4" fillId="8" borderId="0" pivotButton="0" quotePrefix="0" xfId="0"/>
    <xf numFmtId="166" fontId="4" fillId="8" borderId="0" applyAlignment="1" pivotButton="0" quotePrefix="0" xfId="0">
      <alignment horizontal="center"/>
    </xf>
    <xf numFmtId="0" fontId="4" fillId="9" borderId="0" pivotButton="0" quotePrefix="0" xfId="0"/>
    <xf numFmtId="166" fontId="4" fillId="9" borderId="0" applyAlignment="1" pivotButton="0" quotePrefix="0" xfId="0">
      <alignment horizontal="center"/>
    </xf>
    <xf numFmtId="0" fontId="4" fillId="10" borderId="0" pivotButton="0" quotePrefix="0" xfId="0"/>
    <xf numFmtId="166" fontId="4" fillId="10" borderId="0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20" customWidth="1" min="4" max="4"/>
    <col width="35" customWidth="1" min="5" max="5"/>
  </cols>
  <sheetData>
    <row r="1">
      <c r="A1" s="1" t="inlineStr">
        <is>
          <t>ASSUMPTIONS &amp; STAFFING MODEL - DETAILED</t>
        </is>
      </c>
    </row>
    <row r="3">
      <c r="A3" s="2" t="inlineStr">
        <is>
          <t>REVENUE ASSUMPTIONS</t>
        </is>
      </c>
    </row>
    <row r="4">
      <c r="A4" s="3" t="inlineStr">
        <is>
          <t>Metric</t>
        </is>
      </c>
      <c r="B4" s="3" t="inlineStr">
        <is>
          <t>Conservative</t>
        </is>
      </c>
      <c r="C4" s="3" t="inlineStr">
        <is>
          <t>Base Case</t>
        </is>
      </c>
      <c r="D4" s="3" t="inlineStr">
        <is>
          <t>Optimistic</t>
        </is>
      </c>
    </row>
    <row r="5">
      <c r="A5" t="inlineStr">
        <is>
          <t>Spa - Average Treatment Price</t>
        </is>
      </c>
      <c r="B5" s="4" t="n">
        <v>100</v>
      </c>
      <c r="C5" s="4" t="n">
        <v>100</v>
      </c>
      <c r="D5" s="4" t="n">
        <v>100</v>
      </c>
    </row>
    <row r="6">
      <c r="A6" t="inlineStr">
        <is>
          <t>Spa - Monthly Utilization %</t>
        </is>
      </c>
      <c r="B6" s="5" t="n">
        <v>0.4</v>
      </c>
      <c r="C6" s="5" t="n">
        <v>0.45</v>
      </c>
      <c r="D6" s="5" t="n">
        <v>0.5</v>
      </c>
    </row>
    <row r="7">
      <c r="A7" t="inlineStr">
        <is>
          <t>Aesthetics - Average Price (Nurse)</t>
        </is>
      </c>
      <c r="B7" s="4" t="n">
        <v>350</v>
      </c>
      <c r="C7" s="4" t="n">
        <v>350</v>
      </c>
      <c r="D7" s="4" t="n">
        <v>350</v>
      </c>
    </row>
    <row r="8">
      <c r="A8" t="inlineStr">
        <is>
          <t>Aesthetics - Average Price (Other)</t>
        </is>
      </c>
      <c r="B8" s="4" t="n">
        <v>180</v>
      </c>
      <c r="C8" s="4" t="n">
        <v>180</v>
      </c>
      <c r="D8" s="4" t="n">
        <v>180</v>
      </c>
    </row>
    <row r="9">
      <c r="A9" t="inlineStr">
        <is>
          <t>Spa Month 12 Revenue</t>
        </is>
      </c>
      <c r="B9" s="4" t="n">
        <v>30000</v>
      </c>
      <c r="C9" s="4" t="n">
        <v>40000</v>
      </c>
      <c r="D9" s="4" t="n">
        <v>50000</v>
      </c>
    </row>
    <row r="10">
      <c r="A10" t="inlineStr">
        <is>
          <t>Aesthetics Month 12 Revenue</t>
        </is>
      </c>
      <c r="B10" s="4" t="n">
        <v>20000</v>
      </c>
      <c r="C10" s="4" t="n">
        <v>30000</v>
      </c>
      <c r="D10" s="4" t="n">
        <v>40000</v>
      </c>
    </row>
    <row r="11">
      <c r="A11" t="inlineStr">
        <is>
          <t xml:space="preserve">  - Nurse Services (65% of total)</t>
        </is>
      </c>
      <c r="B11" s="4" t="n">
        <v>13000</v>
      </c>
      <c r="C11" s="4" t="n">
        <v>19500</v>
      </c>
      <c r="D11" s="4" t="n">
        <v>26000</v>
      </c>
    </row>
    <row r="12">
      <c r="A12" t="inlineStr">
        <is>
          <t xml:space="preserve">  - Other Services (35% of total)</t>
        </is>
      </c>
      <c r="B12" s="4" t="n">
        <v>7000</v>
      </c>
      <c r="C12" s="4" t="n">
        <v>10500</v>
      </c>
      <c r="D12" s="4" t="n">
        <v>14000</v>
      </c>
    </row>
    <row r="15">
      <c r="A15" s="2" t="inlineStr">
        <is>
          <t>PAYROLL STRUCTURE (DETAILED)</t>
        </is>
      </c>
    </row>
    <row r="16">
      <c r="A16" s="3" t="inlineStr">
        <is>
          <t>Role</t>
        </is>
      </c>
      <c r="B16" s="3" t="inlineStr">
        <is>
          <t>FTE</t>
        </is>
      </c>
      <c r="C16" s="3" t="inlineStr">
        <is>
          <t>Monthly Cost</t>
        </is>
      </c>
      <c r="D16" s="3" t="inlineStr">
        <is>
          <t>Annual Cost</t>
        </is>
      </c>
      <c r="E16" s="3" t="inlineStr">
        <is>
          <t>Notes</t>
        </is>
      </c>
    </row>
    <row r="17">
      <c r="A17" t="inlineStr">
        <is>
          <t>MANAGEMENT &amp; RECEPTION (Shared)</t>
        </is>
      </c>
    </row>
    <row r="18">
      <c r="A18" t="inlineStr">
        <is>
          <t xml:space="preserve">  Manager</t>
        </is>
      </c>
      <c r="B18" t="n">
        <v>1</v>
      </c>
      <c r="C18" s="4" t="n">
        <v>2500</v>
      </c>
      <c r="D18" s="4" t="n">
        <v>30000</v>
      </c>
      <c r="E18" t="inlineStr">
        <is>
          <t>Full-time, manages both spa &amp; clinic</t>
        </is>
      </c>
    </row>
    <row r="19">
      <c r="A19" t="inlineStr">
        <is>
          <t xml:space="preserve">  Receptionists</t>
        </is>
      </c>
      <c r="B19" t="n">
        <v>2</v>
      </c>
      <c r="C19" s="4" t="n">
        <v>2400</v>
      </c>
      <c r="D19" s="4" t="n">
        <v>28800</v>
      </c>
      <c r="E19" t="inlineStr">
        <is>
          <t>2 FTE shared between spa &amp; clinic</t>
        </is>
      </c>
    </row>
    <row r="21">
      <c r="A21" t="inlineStr">
        <is>
          <t>SPA DIVISION</t>
        </is>
      </c>
    </row>
    <row r="22">
      <c r="A22" t="inlineStr">
        <is>
          <t xml:space="preserve">  Spa Therapists</t>
        </is>
      </c>
      <c r="B22" t="n">
        <v>5</v>
      </c>
      <c r="C22" s="4" t="n">
        <v>9000</v>
      </c>
      <c r="D22" s="4" t="n">
        <v>108000</v>
      </c>
      <c r="E22" t="inlineStr">
        <is>
          <t>€1,800 per therapist/month</t>
        </is>
      </c>
    </row>
    <row r="24">
      <c r="A24" t="inlineStr">
        <is>
          <t>AESTHETICS/CLINIC DIVISION</t>
        </is>
      </c>
    </row>
    <row r="25">
      <c r="A25" t="inlineStr">
        <is>
          <t xml:space="preserve">  Medical Nurse</t>
        </is>
      </c>
      <c r="B25" t="n">
        <v>1</v>
      </c>
      <c r="C25" s="4" t="n">
        <v>5500</v>
      </c>
      <c r="D25" s="4" t="n">
        <v>66000</v>
      </c>
      <c r="E25" t="inlineStr">
        <is>
          <t>Manages medical aesthetics services</t>
        </is>
      </c>
    </row>
    <row r="26">
      <c r="A26" t="inlineStr">
        <is>
          <t xml:space="preserve">  Aesthetics Therapists</t>
        </is>
      </c>
      <c r="B26" t="n">
        <v>2</v>
      </c>
      <c r="C26" s="4" t="n">
        <v>4000</v>
      </c>
      <c r="D26" s="4" t="n">
        <v>48000</v>
      </c>
      <c r="E26" t="inlineStr">
        <is>
          <t>€2,000 per therapist/month base</t>
        </is>
      </c>
    </row>
    <row r="27">
      <c r="A27" t="inlineStr">
        <is>
          <t xml:space="preserve">  Revenue Share (5% of Aes)</t>
        </is>
      </c>
      <c r="C27" t="inlineStr">
        <is>
          <t>Variable</t>
        </is>
      </c>
      <c r="D27" t="inlineStr">
        <is>
          <t>Formula</t>
        </is>
      </c>
      <c r="E27" t="inlineStr">
        <is>
          <t>5% of total aesthetics revenue</t>
        </is>
      </c>
    </row>
    <row r="29">
      <c r="A29" t="inlineStr">
        <is>
          <t>TOTAL BASE PAYROLL</t>
        </is>
      </c>
      <c r="C29" s="4" t="n">
        <v>23400</v>
      </c>
      <c r="D29" s="4" t="n">
        <v>280800</v>
      </c>
      <c r="E29" t="inlineStr">
        <is>
          <t>Excl. revenue share</t>
        </is>
      </c>
    </row>
    <row r="32">
      <c r="A32" s="2" t="inlineStr">
        <is>
          <t>OPERATING COSTS (NON-PAYROLL)</t>
        </is>
      </c>
    </row>
    <row r="33">
      <c r="A33" s="3" t="inlineStr">
        <is>
          <t>Cost Category</t>
        </is>
      </c>
      <c r="B33" s="3" t="inlineStr">
        <is>
          <t>Monthly</t>
        </is>
      </c>
      <c r="C33" s="3" t="inlineStr">
        <is>
          <t>Annual</t>
        </is>
      </c>
      <c r="D33" s="3" t="inlineStr">
        <is>
          <t>Type</t>
        </is>
      </c>
      <c r="E33" s="3" t="inlineStr">
        <is>
          <t>Notes</t>
        </is>
      </c>
    </row>
    <row r="34">
      <c r="A34" t="inlineStr">
        <is>
          <t>FACILITIES</t>
        </is>
      </c>
    </row>
    <row r="35">
      <c r="A35" t="inlineStr">
        <is>
          <t xml:space="preserve">  Rent</t>
        </is>
      </c>
      <c r="B35" s="4" t="n">
        <v>5000</v>
      </c>
      <c r="C35" s="4" t="n">
        <v>60000</v>
      </c>
      <c r="D35" t="inlineStr">
        <is>
          <t>Fixed</t>
        </is>
      </c>
    </row>
    <row r="36">
      <c r="A36" t="inlineStr">
        <is>
          <t xml:space="preserve">  Utilities</t>
        </is>
      </c>
      <c r="B36" s="4" t="n">
        <v>500</v>
      </c>
      <c r="C36" s="4" t="n">
        <v>6000</v>
      </c>
      <c r="D36" t="inlineStr">
        <is>
          <t>Fixed</t>
        </is>
      </c>
    </row>
    <row r="37">
      <c r="A37" t="inlineStr">
        <is>
          <t xml:space="preserve">  Maintenance &amp; Repairs</t>
        </is>
      </c>
      <c r="B37" s="4" t="n">
        <v>300</v>
      </c>
      <c r="C37" s="4" t="n">
        <v>3600</v>
      </c>
      <c r="D37" t="inlineStr">
        <is>
          <t>Fixed</t>
        </is>
      </c>
    </row>
    <row r="38">
      <c r="A38" t="inlineStr">
        <is>
          <t xml:space="preserve">  Cleaning &amp; Laundry</t>
        </is>
      </c>
      <c r="B38" s="4" t="n">
        <v>400</v>
      </c>
      <c r="C38" s="4" t="n">
        <v>4800</v>
      </c>
      <c r="D38" t="inlineStr">
        <is>
          <t>Fixed</t>
        </is>
      </c>
    </row>
    <row r="40">
      <c r="A40" t="inlineStr">
        <is>
          <t>SYSTEMS &amp; OPERATIONS</t>
        </is>
      </c>
    </row>
    <row r="41">
      <c r="A41" t="inlineStr">
        <is>
          <t xml:space="preserve">  Internet &amp; Telephone</t>
        </is>
      </c>
      <c r="B41" s="4" t="n">
        <v>300</v>
      </c>
      <c r="C41" s="4" t="n">
        <v>3600</v>
      </c>
      <c r="D41" t="inlineStr">
        <is>
          <t>Fixed</t>
        </is>
      </c>
    </row>
    <row r="42">
      <c r="A42" t="inlineStr">
        <is>
          <t xml:space="preserve">  CRM/Booking System</t>
        </is>
      </c>
      <c r="B42" s="4" t="n">
        <v>80</v>
      </c>
      <c r="C42" s="4" t="n">
        <v>960</v>
      </c>
      <c r="D42" t="inlineStr">
        <is>
          <t>Fixed</t>
        </is>
      </c>
    </row>
    <row r="43">
      <c r="A43" t="inlineStr">
        <is>
          <t xml:space="preserve">  Point of Sale</t>
        </is>
      </c>
      <c r="B43" s="4" t="n">
        <v>80</v>
      </c>
      <c r="C43" s="4" t="n">
        <v>960</v>
      </c>
      <c r="D43" t="inlineStr">
        <is>
          <t>Fixed</t>
        </is>
      </c>
    </row>
    <row r="45">
      <c r="A45" t="inlineStr">
        <is>
          <t>PROFESSIONAL SERVICES</t>
        </is>
      </c>
    </row>
    <row r="46">
      <c r="A46" t="inlineStr">
        <is>
          <t xml:space="preserve">  Accounting &amp; Bookkeeping</t>
        </is>
      </c>
      <c r="B46" s="4" t="n">
        <v>400</v>
      </c>
      <c r="C46" s="4" t="n">
        <v>4800</v>
      </c>
      <c r="D46" t="inlineStr">
        <is>
          <t>Fixed</t>
        </is>
      </c>
      <c r="E46" t="inlineStr">
        <is>
          <t>Combined service</t>
        </is>
      </c>
    </row>
    <row r="48">
      <c r="A48" s="6" t="inlineStr">
        <is>
          <t>TOTAL FIXED OPERATING COSTS</t>
        </is>
      </c>
      <c r="B48" s="7" t="n">
        <v>7060</v>
      </c>
      <c r="C48" s="4" t="n">
        <v>84720</v>
      </c>
      <c r="D48" t="inlineStr">
        <is>
          <t>Fixed</t>
        </is>
      </c>
    </row>
    <row r="51">
      <c r="A51" s="2" t="inlineStr">
        <is>
          <t>COST OF GOODS SOLD (COGS) - VARIABLE</t>
        </is>
      </c>
    </row>
    <row r="52">
      <c r="A52" s="3" t="inlineStr">
        <is>
          <t>Cost Category</t>
        </is>
      </c>
      <c r="B52" s="3" t="inlineStr">
        <is>
          <t>Rate</t>
        </is>
      </c>
      <c r="C52" s="3" t="inlineStr">
        <is>
          <t>Basis</t>
        </is>
      </c>
      <c r="D52" s="3" t="inlineStr">
        <is>
          <t>Notes</t>
        </is>
      </c>
    </row>
    <row r="53">
      <c r="A53" t="inlineStr">
        <is>
          <t>Spa Consumables</t>
        </is>
      </c>
      <c r="B53" t="inlineStr">
        <is>
          <t>3%</t>
        </is>
      </c>
      <c r="C53" t="inlineStr">
        <is>
          <t>of Spa Revenue</t>
        </is>
      </c>
      <c r="D53" t="inlineStr">
        <is>
          <t>Traditional spa supplies</t>
        </is>
      </c>
    </row>
    <row r="54">
      <c r="A54" t="inlineStr">
        <is>
          <t>Nurse Services COGS</t>
        </is>
      </c>
      <c r="B54" t="inlineStr">
        <is>
          <t>35%</t>
        </is>
      </c>
      <c r="C54" t="inlineStr">
        <is>
          <t>of Nurse Revenue (65% of Aesthetics)</t>
        </is>
      </c>
      <c r="D54" t="inlineStr">
        <is>
          <t>Medical-grade products, injectables</t>
        </is>
      </c>
    </row>
    <row r="55">
      <c r="A55" t="inlineStr">
        <is>
          <t>Other Aesthetics COGS</t>
        </is>
      </c>
      <c r="B55" t="inlineStr">
        <is>
          <t>5%</t>
        </is>
      </c>
      <c r="C55" t="inlineStr">
        <is>
          <t>of Other Revenue (35% of Aesthetics)</t>
        </is>
      </c>
      <c r="D55" t="inlineStr">
        <is>
          <t>Lower cost supplies, facials, massage</t>
        </is>
      </c>
    </row>
    <row r="56">
      <c r="A56" t="inlineStr">
        <is>
          <t>Hotel Partnership Commission</t>
        </is>
      </c>
      <c r="B56" t="inlineStr">
        <is>
          <t>5%</t>
        </is>
      </c>
      <c r="C56" t="inlineStr">
        <is>
          <t>of Spa Revenue</t>
        </is>
      </c>
      <c r="D56" t="inlineStr">
        <is>
          <t>Hotel booking/referral fee</t>
        </is>
      </c>
    </row>
    <row r="57">
      <c r="A57" t="inlineStr">
        <is>
          <t>Contingency Buffer</t>
        </is>
      </c>
      <c r="B57" t="inlineStr">
        <is>
          <t>2%</t>
        </is>
      </c>
      <c r="C57" t="inlineStr">
        <is>
          <t>of Total Revenue</t>
        </is>
      </c>
      <c r="D57" t="inlineStr">
        <is>
          <t>Reserve for unexpected costs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12-MONTH P&amp;L PROJECTION (BASE CASE - DETAILED COST BREAKDOWN)</t>
        </is>
      </c>
    </row>
    <row r="2">
      <c r="A2" s="3" t="inlineStr">
        <is>
          <t>Month</t>
        </is>
      </c>
      <c r="B2" s="3" t="inlineStr">
        <is>
          <t>M1</t>
        </is>
      </c>
      <c r="C2" s="3" t="inlineStr">
        <is>
          <t>M2</t>
        </is>
      </c>
      <c r="D2" s="3" t="inlineStr">
        <is>
          <t>M3</t>
        </is>
      </c>
      <c r="E2" s="3" t="inlineStr">
        <is>
          <t>M4</t>
        </is>
      </c>
      <c r="F2" s="3" t="inlineStr">
        <is>
          <t>M5</t>
        </is>
      </c>
      <c r="G2" s="3" t="inlineStr">
        <is>
          <t>M6</t>
        </is>
      </c>
      <c r="H2" s="3" t="inlineStr">
        <is>
          <t>M7</t>
        </is>
      </c>
      <c r="I2" s="3" t="inlineStr">
        <is>
          <t>M8</t>
        </is>
      </c>
      <c r="J2" s="3" t="inlineStr">
        <is>
          <t>M9</t>
        </is>
      </c>
      <c r="K2" s="3" t="inlineStr">
        <is>
          <t>M10</t>
        </is>
      </c>
      <c r="L2" s="3" t="inlineStr">
        <is>
          <t>M11</t>
        </is>
      </c>
      <c r="M2" s="3" t="inlineStr">
        <is>
          <t>M12</t>
        </is>
      </c>
    </row>
    <row r="3">
      <c r="A3" s="8" t="inlineStr">
        <is>
          <t>REVENUE</t>
        </is>
      </c>
    </row>
    <row r="4">
      <c r="A4" t="inlineStr">
        <is>
          <t>Spa Revenue</t>
        </is>
      </c>
      <c r="B4" s="4" t="n">
        <v>24000</v>
      </c>
      <c r="C4" s="4" t="n">
        <v>28000</v>
      </c>
      <c r="D4" s="4" t="n">
        <v>32000</v>
      </c>
      <c r="E4" s="4" t="n">
        <v>33000</v>
      </c>
      <c r="F4" s="4" t="n">
        <v>31000</v>
      </c>
      <c r="G4" s="4" t="n">
        <v>34000</v>
      </c>
      <c r="H4" s="4" t="n">
        <v>37000</v>
      </c>
      <c r="I4" s="4" t="n">
        <v>43000</v>
      </c>
      <c r="J4" s="4" t="n">
        <v>42000</v>
      </c>
      <c r="K4" s="4" t="n">
        <v>40000</v>
      </c>
      <c r="L4" s="4" t="n">
        <v>36000</v>
      </c>
      <c r="M4" s="4" t="n">
        <v>38000</v>
      </c>
    </row>
    <row r="5">
      <c r="A5" t="inlineStr">
        <is>
          <t xml:space="preserve">  Nurse Services Revenue</t>
        </is>
      </c>
      <c r="B5" s="4" t="n">
        <v>0</v>
      </c>
      <c r="C5" s="4" t="n">
        <v>0</v>
      </c>
      <c r="D5" s="4" t="n">
        <v>6500</v>
      </c>
      <c r="E5" s="4" t="n">
        <v>9750</v>
      </c>
      <c r="F5" s="4" t="n">
        <v>11700</v>
      </c>
      <c r="G5" s="4" t="n">
        <v>13000</v>
      </c>
      <c r="H5" s="4" t="n">
        <v>13650</v>
      </c>
      <c r="I5" s="4" t="n">
        <v>14950</v>
      </c>
      <c r="J5" s="4" t="n">
        <v>15600</v>
      </c>
      <c r="K5" s="4" t="n">
        <v>16250</v>
      </c>
      <c r="L5" s="4" t="n">
        <v>17550</v>
      </c>
      <c r="M5" s="4" t="n">
        <v>19500</v>
      </c>
    </row>
    <row r="6">
      <c r="A6" t="inlineStr">
        <is>
          <t xml:space="preserve">  Other Aesthetics Revenue</t>
        </is>
      </c>
      <c r="B6" s="4" t="n">
        <v>0</v>
      </c>
      <c r="C6" s="4" t="n">
        <v>0</v>
      </c>
      <c r="D6" s="4" t="n">
        <v>3500</v>
      </c>
      <c r="E6" s="4" t="n">
        <v>5250</v>
      </c>
      <c r="F6" s="4" t="n">
        <v>6300</v>
      </c>
      <c r="G6" s="4" t="n">
        <v>7000</v>
      </c>
      <c r="H6" s="4" t="n">
        <v>7349.999999999999</v>
      </c>
      <c r="I6" s="4" t="n">
        <v>8049.999999999999</v>
      </c>
      <c r="J6" s="4" t="n">
        <v>8400</v>
      </c>
      <c r="K6" s="4" t="n">
        <v>8750</v>
      </c>
      <c r="L6" s="4" t="n">
        <v>9450</v>
      </c>
      <c r="M6" s="4" t="n">
        <v>10500</v>
      </c>
    </row>
    <row r="7">
      <c r="A7" t="inlineStr">
        <is>
          <t>Aesthetics Revenue (Total)</t>
        </is>
      </c>
      <c r="B7" s="4">
        <f>B5+B6</f>
        <v/>
      </c>
      <c r="C7" s="4">
        <f>C5+C6</f>
        <v/>
      </c>
      <c r="D7" s="4">
        <f>D5+D6</f>
        <v/>
      </c>
      <c r="E7" s="4">
        <f>E5+E6</f>
        <v/>
      </c>
      <c r="F7" s="4">
        <f>F5+F6</f>
        <v/>
      </c>
      <c r="G7" s="4">
        <f>G5+G6</f>
        <v/>
      </c>
      <c r="H7" s="4">
        <f>H5+H6</f>
        <v/>
      </c>
      <c r="I7" s="4">
        <f>I5+I6</f>
        <v/>
      </c>
      <c r="J7" s="4">
        <f>J5+J6</f>
        <v/>
      </c>
      <c r="K7" s="4">
        <f>K5+K6</f>
        <v/>
      </c>
      <c r="L7" s="4">
        <f>L5+L6</f>
        <v/>
      </c>
      <c r="M7" s="4">
        <f>M5+M6</f>
        <v/>
      </c>
    </row>
    <row r="8">
      <c r="A8" s="6" t="inlineStr">
        <is>
          <t>TOTAL REVENUE</t>
        </is>
      </c>
      <c r="B8" s="7">
        <f>B4+B7</f>
        <v/>
      </c>
      <c r="C8" s="7">
        <f>C4+C7</f>
        <v/>
      </c>
      <c r="D8" s="7">
        <f>D4+D7</f>
        <v/>
      </c>
      <c r="E8" s="7">
        <f>E4+E7</f>
        <v/>
      </c>
      <c r="F8" s="7">
        <f>F4+F7</f>
        <v/>
      </c>
      <c r="G8" s="7">
        <f>G4+G7</f>
        <v/>
      </c>
      <c r="H8" s="7">
        <f>H4+H7</f>
        <v/>
      </c>
      <c r="I8" s="7">
        <f>I4+I7</f>
        <v/>
      </c>
      <c r="J8" s="7">
        <f>J4+J7</f>
        <v/>
      </c>
      <c r="K8" s="7">
        <f>K4+K7</f>
        <v/>
      </c>
      <c r="L8" s="7">
        <f>L4+L7</f>
        <v/>
      </c>
      <c r="M8" s="7">
        <f>M4+M7</f>
        <v/>
      </c>
    </row>
    <row r="10">
      <c r="A10" s="8" t="inlineStr">
        <is>
          <t>PAYROLL COSTS</t>
        </is>
      </c>
    </row>
    <row r="11">
      <c r="A11" t="inlineStr">
        <is>
          <t>Manager (Shared)</t>
        </is>
      </c>
      <c r="B11" s="4" t="n">
        <v>2500</v>
      </c>
      <c r="C11" s="4" t="n">
        <v>2500</v>
      </c>
      <c r="D11" s="4" t="n">
        <v>2500</v>
      </c>
      <c r="E11" s="4" t="n">
        <v>2500</v>
      </c>
      <c r="F11" s="4" t="n">
        <v>2500</v>
      </c>
      <c r="G11" s="4" t="n">
        <v>2500</v>
      </c>
      <c r="H11" s="4" t="n">
        <v>2500</v>
      </c>
      <c r="I11" s="4" t="n">
        <v>2500</v>
      </c>
      <c r="J11" s="4" t="n">
        <v>2500</v>
      </c>
      <c r="K11" s="4" t="n">
        <v>2500</v>
      </c>
      <c r="L11" s="4" t="n">
        <v>2500</v>
      </c>
      <c r="M11" s="4" t="n">
        <v>2500</v>
      </c>
    </row>
    <row r="12">
      <c r="A12" t="inlineStr">
        <is>
          <t>Receptionists (Shared)</t>
        </is>
      </c>
      <c r="B12" s="4" t="n">
        <v>2400</v>
      </c>
      <c r="C12" s="4" t="n">
        <v>2400</v>
      </c>
      <c r="D12" s="4" t="n">
        <v>2400</v>
      </c>
      <c r="E12" s="4" t="n">
        <v>2400</v>
      </c>
      <c r="F12" s="4" t="n">
        <v>2400</v>
      </c>
      <c r="G12" s="4" t="n">
        <v>2400</v>
      </c>
      <c r="H12" s="4" t="n">
        <v>2400</v>
      </c>
      <c r="I12" s="4" t="n">
        <v>2400</v>
      </c>
      <c r="J12" s="4" t="n">
        <v>2400</v>
      </c>
      <c r="K12" s="4" t="n">
        <v>2400</v>
      </c>
      <c r="L12" s="4" t="n">
        <v>2400</v>
      </c>
      <c r="M12" s="4" t="n">
        <v>2400</v>
      </c>
    </row>
    <row r="13">
      <c r="A13" t="inlineStr">
        <is>
          <t>Spa Therapists</t>
        </is>
      </c>
      <c r="B13" s="4" t="n">
        <v>9000</v>
      </c>
      <c r="C13" s="4" t="n">
        <v>9000</v>
      </c>
      <c r="D13" s="4" t="n">
        <v>9000</v>
      </c>
      <c r="E13" s="4" t="n">
        <v>9000</v>
      </c>
      <c r="F13" s="4" t="n">
        <v>9000</v>
      </c>
      <c r="G13" s="4" t="n">
        <v>9000</v>
      </c>
      <c r="H13" s="4" t="n">
        <v>9000</v>
      </c>
      <c r="I13" s="4" t="n">
        <v>9000</v>
      </c>
      <c r="J13" s="4" t="n">
        <v>9000</v>
      </c>
      <c r="K13" s="4" t="n">
        <v>9000</v>
      </c>
      <c r="L13" s="4" t="n">
        <v>9000</v>
      </c>
      <c r="M13" s="4" t="n">
        <v>9000</v>
      </c>
    </row>
    <row r="14">
      <c r="A14" t="inlineStr">
        <is>
          <t>Medical Nurse</t>
        </is>
      </c>
      <c r="B14" s="4" t="n">
        <v>0</v>
      </c>
      <c r="C14" s="4" t="n">
        <v>0</v>
      </c>
      <c r="D14" s="4" t="n">
        <v>5500</v>
      </c>
      <c r="E14" s="4" t="n">
        <v>5500</v>
      </c>
      <c r="F14" s="4" t="n">
        <v>5500</v>
      </c>
      <c r="G14" s="4" t="n">
        <v>5500</v>
      </c>
      <c r="H14" s="4" t="n">
        <v>5500</v>
      </c>
      <c r="I14" s="4" t="n">
        <v>5500</v>
      </c>
      <c r="J14" s="4" t="n">
        <v>5500</v>
      </c>
      <c r="K14" s="4" t="n">
        <v>5500</v>
      </c>
      <c r="L14" s="4" t="n">
        <v>5500</v>
      </c>
      <c r="M14" s="4" t="n">
        <v>5500</v>
      </c>
    </row>
    <row r="15">
      <c r="A15" t="inlineStr">
        <is>
          <t>Aesthetics Therapists</t>
        </is>
      </c>
      <c r="B15" s="4" t="n">
        <v>0</v>
      </c>
      <c r="C15" s="4" t="n">
        <v>0</v>
      </c>
      <c r="D15" s="4" t="n">
        <v>4000</v>
      </c>
      <c r="E15" s="4" t="n">
        <v>4000</v>
      </c>
      <c r="F15" s="4" t="n">
        <v>4000</v>
      </c>
      <c r="G15" s="4" t="n">
        <v>4000</v>
      </c>
      <c r="H15" s="4" t="n">
        <v>4000</v>
      </c>
      <c r="I15" s="4" t="n">
        <v>4000</v>
      </c>
      <c r="J15" s="4" t="n">
        <v>4000</v>
      </c>
      <c r="K15" s="4" t="n">
        <v>4000</v>
      </c>
      <c r="L15" s="4" t="n">
        <v>4000</v>
      </c>
      <c r="M15" s="4" t="n">
        <v>4000</v>
      </c>
    </row>
    <row r="16">
      <c r="A16" t="inlineStr">
        <is>
          <t>Revenue Share (5% Aesthetics)</t>
        </is>
      </c>
      <c r="B16" s="4" t="n">
        <v>0</v>
      </c>
      <c r="C16" s="4" t="n">
        <v>0</v>
      </c>
      <c r="D16" s="4">
        <f>D7*0.05</f>
        <v/>
      </c>
      <c r="E16" s="4">
        <f>E7*0.05</f>
        <v/>
      </c>
      <c r="F16" s="4">
        <f>F7*0.05</f>
        <v/>
      </c>
      <c r="G16" s="4">
        <f>G7*0.05</f>
        <v/>
      </c>
      <c r="H16" s="4">
        <f>H7*0.05</f>
        <v/>
      </c>
      <c r="I16" s="4">
        <f>I7*0.05</f>
        <v/>
      </c>
      <c r="J16" s="4">
        <f>J7*0.05</f>
        <v/>
      </c>
      <c r="K16" s="4">
        <f>K7*0.05</f>
        <v/>
      </c>
      <c r="L16" s="4">
        <f>L7*0.05</f>
        <v/>
      </c>
      <c r="M16" s="4">
        <f>M7*0.05</f>
        <v/>
      </c>
    </row>
    <row r="17">
      <c r="A17" s="6" t="inlineStr">
        <is>
          <t>TOTAL PAYROLL</t>
        </is>
      </c>
      <c r="B17" s="7">
        <f>B11+B12+B13+B14+B15+B16</f>
        <v/>
      </c>
      <c r="C17" s="7">
        <f>C11+C12+C13+C14+C15+C16</f>
        <v/>
      </c>
      <c r="D17" s="7">
        <f>D11+D12+D13+D14+D15+D16</f>
        <v/>
      </c>
      <c r="E17" s="7">
        <f>E11+E12+E13+E14+E15+E16</f>
        <v/>
      </c>
      <c r="F17" s="7">
        <f>F11+F12+F13+F14+F15+F16</f>
        <v/>
      </c>
      <c r="G17" s="7">
        <f>G11+G12+G13+G14+G15+G16</f>
        <v/>
      </c>
      <c r="H17" s="7">
        <f>H11+H12+H13+H14+H15+H16</f>
        <v/>
      </c>
      <c r="I17" s="7">
        <f>I11+I12+I13+I14+I15+I16</f>
        <v/>
      </c>
      <c r="J17" s="7">
        <f>J11+J12+J13+J14+J15+J16</f>
        <v/>
      </c>
      <c r="K17" s="7">
        <f>K11+K12+K13+K14+K15+K16</f>
        <v/>
      </c>
      <c r="L17" s="7">
        <f>L11+L12+L13+L14+L15+L16</f>
        <v/>
      </c>
      <c r="M17" s="7">
        <f>M11+M12+M13+M14+M15+M16</f>
        <v/>
      </c>
    </row>
    <row r="19">
      <c r="A19" s="8" t="inlineStr">
        <is>
          <t>OPERATING COSTS (Non-Payroll)</t>
        </is>
      </c>
    </row>
    <row r="20">
      <c r="A20" t="inlineStr">
        <is>
          <t>Rent</t>
        </is>
      </c>
      <c r="B20" s="4" t="n">
        <v>5000</v>
      </c>
      <c r="C20" s="4" t="n">
        <v>5000</v>
      </c>
      <c r="D20" s="4" t="n">
        <v>5000</v>
      </c>
      <c r="E20" s="4" t="n">
        <v>5000</v>
      </c>
      <c r="F20" s="4" t="n">
        <v>5000</v>
      </c>
      <c r="G20" s="4" t="n">
        <v>5000</v>
      </c>
      <c r="H20" s="4" t="n">
        <v>5000</v>
      </c>
      <c r="I20" s="4" t="n">
        <v>5000</v>
      </c>
      <c r="J20" s="4" t="n">
        <v>5000</v>
      </c>
      <c r="K20" s="4" t="n">
        <v>5000</v>
      </c>
      <c r="L20" s="4" t="n">
        <v>5000</v>
      </c>
      <c r="M20" s="4" t="n">
        <v>5000</v>
      </c>
    </row>
    <row r="21">
      <c r="A21" t="inlineStr">
        <is>
          <t>Utilities</t>
        </is>
      </c>
      <c r="B21" s="4" t="n">
        <v>500</v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500</v>
      </c>
      <c r="H21" s="4" t="n">
        <v>500</v>
      </c>
      <c r="I21" s="4" t="n">
        <v>500</v>
      </c>
      <c r="J21" s="4" t="n">
        <v>500</v>
      </c>
      <c r="K21" s="4" t="n">
        <v>500</v>
      </c>
      <c r="L21" s="4" t="n">
        <v>500</v>
      </c>
      <c r="M21" s="4" t="n">
        <v>500</v>
      </c>
    </row>
    <row r="22">
      <c r="A22" t="inlineStr">
        <is>
          <t>Maintenance &amp; Repairs</t>
        </is>
      </c>
      <c r="B22" s="4" t="n">
        <v>300</v>
      </c>
      <c r="C22" s="4" t="n">
        <v>300</v>
      </c>
      <c r="D22" s="4" t="n">
        <v>300</v>
      </c>
      <c r="E22" s="4" t="n">
        <v>300</v>
      </c>
      <c r="F22" s="4" t="n">
        <v>300</v>
      </c>
      <c r="G22" s="4" t="n">
        <v>300</v>
      </c>
      <c r="H22" s="4" t="n">
        <v>300</v>
      </c>
      <c r="I22" s="4" t="n">
        <v>300</v>
      </c>
      <c r="J22" s="4" t="n">
        <v>300</v>
      </c>
      <c r="K22" s="4" t="n">
        <v>300</v>
      </c>
      <c r="L22" s="4" t="n">
        <v>300</v>
      </c>
      <c r="M22" s="4" t="n">
        <v>300</v>
      </c>
    </row>
    <row r="23">
      <c r="A23" t="inlineStr">
        <is>
          <t>Cleaning &amp; Laundry</t>
        </is>
      </c>
      <c r="B23" s="4" t="n">
        <v>400</v>
      </c>
      <c r="C23" s="4" t="n">
        <v>400</v>
      </c>
      <c r="D23" s="4" t="n">
        <v>400</v>
      </c>
      <c r="E23" s="4" t="n">
        <v>400</v>
      </c>
      <c r="F23" s="4" t="n">
        <v>400</v>
      </c>
      <c r="G23" s="4" t="n">
        <v>400</v>
      </c>
      <c r="H23" s="4" t="n">
        <v>400</v>
      </c>
      <c r="I23" s="4" t="n">
        <v>400</v>
      </c>
      <c r="J23" s="4" t="n">
        <v>400</v>
      </c>
      <c r="K23" s="4" t="n">
        <v>400</v>
      </c>
      <c r="L23" s="4" t="n">
        <v>400</v>
      </c>
      <c r="M23" s="4" t="n">
        <v>400</v>
      </c>
    </row>
    <row r="24">
      <c r="A24" t="inlineStr">
        <is>
          <t>Internet &amp; Telephone</t>
        </is>
      </c>
      <c r="B24" s="4" t="n">
        <v>300</v>
      </c>
      <c r="C24" s="4" t="n">
        <v>300</v>
      </c>
      <c r="D24" s="4" t="n">
        <v>300</v>
      </c>
      <c r="E24" s="4" t="n">
        <v>300</v>
      </c>
      <c r="F24" s="4" t="n">
        <v>300</v>
      </c>
      <c r="G24" s="4" t="n">
        <v>300</v>
      </c>
      <c r="H24" s="4" t="n">
        <v>300</v>
      </c>
      <c r="I24" s="4" t="n">
        <v>300</v>
      </c>
      <c r="J24" s="4" t="n">
        <v>300</v>
      </c>
      <c r="K24" s="4" t="n">
        <v>300</v>
      </c>
      <c r="L24" s="4" t="n">
        <v>300</v>
      </c>
      <c r="M24" s="4" t="n">
        <v>300</v>
      </c>
    </row>
    <row r="25">
      <c r="A25" t="inlineStr">
        <is>
          <t>CRM/Booking System</t>
        </is>
      </c>
      <c r="B25" s="4" t="n">
        <v>80</v>
      </c>
      <c r="C25" s="4" t="n">
        <v>80</v>
      </c>
      <c r="D25" s="4" t="n">
        <v>80</v>
      </c>
      <c r="E25" s="4" t="n">
        <v>80</v>
      </c>
      <c r="F25" s="4" t="n">
        <v>80</v>
      </c>
      <c r="G25" s="4" t="n">
        <v>80</v>
      </c>
      <c r="H25" s="4" t="n">
        <v>80</v>
      </c>
      <c r="I25" s="4" t="n">
        <v>80</v>
      </c>
      <c r="J25" s="4" t="n">
        <v>80</v>
      </c>
      <c r="K25" s="4" t="n">
        <v>80</v>
      </c>
      <c r="L25" s="4" t="n">
        <v>80</v>
      </c>
      <c r="M25" s="4" t="n">
        <v>80</v>
      </c>
    </row>
    <row r="26">
      <c r="A26" t="inlineStr">
        <is>
          <t>Point of Sale</t>
        </is>
      </c>
      <c r="B26" s="4" t="n">
        <v>80</v>
      </c>
      <c r="C26" s="4" t="n">
        <v>80</v>
      </c>
      <c r="D26" s="4" t="n">
        <v>80</v>
      </c>
      <c r="E26" s="4" t="n">
        <v>80</v>
      </c>
      <c r="F26" s="4" t="n">
        <v>80</v>
      </c>
      <c r="G26" s="4" t="n">
        <v>80</v>
      </c>
      <c r="H26" s="4" t="n">
        <v>80</v>
      </c>
      <c r="I26" s="4" t="n">
        <v>80</v>
      </c>
      <c r="J26" s="4" t="n">
        <v>80</v>
      </c>
      <c r="K26" s="4" t="n">
        <v>80</v>
      </c>
      <c r="L26" s="4" t="n">
        <v>80</v>
      </c>
      <c r="M26" s="4" t="n">
        <v>80</v>
      </c>
    </row>
    <row r="27">
      <c r="A27" t="inlineStr">
        <is>
          <t>Accounting &amp; Bookkeeping</t>
        </is>
      </c>
      <c r="B27" s="4" t="n">
        <v>400</v>
      </c>
      <c r="C27" s="4" t="n">
        <v>400</v>
      </c>
      <c r="D27" s="4" t="n">
        <v>400</v>
      </c>
      <c r="E27" s="4" t="n">
        <v>400</v>
      </c>
      <c r="F27" s="4" t="n">
        <v>400</v>
      </c>
      <c r="G27" s="4" t="n">
        <v>400</v>
      </c>
      <c r="H27" s="4" t="n">
        <v>400</v>
      </c>
      <c r="I27" s="4" t="n">
        <v>400</v>
      </c>
      <c r="J27" s="4" t="n">
        <v>400</v>
      </c>
      <c r="K27" s="4" t="n">
        <v>400</v>
      </c>
      <c r="L27" s="4" t="n">
        <v>400</v>
      </c>
      <c r="M27" s="4" t="n">
        <v>400</v>
      </c>
    </row>
    <row r="28">
      <c r="A28" s="6" t="inlineStr">
        <is>
          <t>TOTAL FIXED OPEX</t>
        </is>
      </c>
      <c r="B28" s="7">
        <f>B20+B21+B22+B23+B24+B25+B26+B27</f>
        <v/>
      </c>
      <c r="C28" s="7">
        <f>C20+C21+C22+C23+C24+C25+C26+C27</f>
        <v/>
      </c>
      <c r="D28" s="7">
        <f>D20+D21+D22+D23+D24+D25+D26+D27</f>
        <v/>
      </c>
      <c r="E28" s="7">
        <f>E20+E21+E22+E23+E24+E25+E26+E27</f>
        <v/>
      </c>
      <c r="F28" s="7">
        <f>F20+F21+F22+F23+F24+F25+F26+F27</f>
        <v/>
      </c>
      <c r="G28" s="7">
        <f>G20+G21+G22+G23+G24+G25+G26+G27</f>
        <v/>
      </c>
      <c r="H28" s="7">
        <f>H20+H21+H22+H23+H24+H25+H26+H27</f>
        <v/>
      </c>
      <c r="I28" s="7">
        <f>I20+I21+I22+I23+I24+I25+I26+I27</f>
        <v/>
      </c>
      <c r="J28" s="7">
        <f>J20+J21+J22+J23+J24+J25+J26+J27</f>
        <v/>
      </c>
      <c r="K28" s="7">
        <f>K20+K21+K22+K23+K24+K25+K26+K27</f>
        <v/>
      </c>
      <c r="L28" s="7">
        <f>L20+L21+L22+L23+L24+L25+L26+L27</f>
        <v/>
      </c>
      <c r="M28" s="7">
        <f>M20+M21+M22+M23+M24+M25+M26+M27</f>
        <v/>
      </c>
    </row>
    <row r="30">
      <c r="A30" s="8" t="inlineStr">
        <is>
          <t>COST OF GOODS SOLD (COGS)</t>
        </is>
      </c>
    </row>
    <row r="31">
      <c r="A31" t="inlineStr">
        <is>
          <t>Spa Consumables (3% of Spa)</t>
        </is>
      </c>
      <c r="B31" s="4">
        <f>B4*0.03</f>
        <v/>
      </c>
      <c r="C31" s="4">
        <f>C4*0.03</f>
        <v/>
      </c>
      <c r="D31" s="4">
        <f>D4*0.03</f>
        <v/>
      </c>
      <c r="E31" s="4">
        <f>E4*0.03</f>
        <v/>
      </c>
      <c r="F31" s="4">
        <f>F4*0.03</f>
        <v/>
      </c>
      <c r="G31" s="4">
        <f>G4*0.03</f>
        <v/>
      </c>
      <c r="H31" s="4">
        <f>H4*0.03</f>
        <v/>
      </c>
      <c r="I31" s="4">
        <f>I4*0.03</f>
        <v/>
      </c>
      <c r="J31" s="4">
        <f>J4*0.03</f>
        <v/>
      </c>
      <c r="K31" s="4">
        <f>K4*0.03</f>
        <v/>
      </c>
      <c r="L31" s="4">
        <f>L4*0.03</f>
        <v/>
      </c>
      <c r="M31" s="4">
        <f>M4*0.03</f>
        <v/>
      </c>
    </row>
    <row r="32">
      <c r="A32" t="inlineStr">
        <is>
          <t>Nurse Services COGS (35% of Nurse)</t>
        </is>
      </c>
      <c r="B32" s="4">
        <f>B5*0.35</f>
        <v/>
      </c>
      <c r="C32" s="4">
        <f>C5*0.35</f>
        <v/>
      </c>
      <c r="D32" s="4">
        <f>D5*0.35</f>
        <v/>
      </c>
      <c r="E32" s="4">
        <f>E5*0.35</f>
        <v/>
      </c>
      <c r="F32" s="4">
        <f>F5*0.35</f>
        <v/>
      </c>
      <c r="G32" s="4">
        <f>G5*0.35</f>
        <v/>
      </c>
      <c r="H32" s="4">
        <f>H5*0.35</f>
        <v/>
      </c>
      <c r="I32" s="4">
        <f>I5*0.35</f>
        <v/>
      </c>
      <c r="J32" s="4">
        <f>J5*0.35</f>
        <v/>
      </c>
      <c r="K32" s="4">
        <f>K5*0.35</f>
        <v/>
      </c>
      <c r="L32" s="4">
        <f>L5*0.35</f>
        <v/>
      </c>
      <c r="M32" s="4">
        <f>M5*0.35</f>
        <v/>
      </c>
    </row>
    <row r="33">
      <c r="A33" t="inlineStr">
        <is>
          <t>Other Aesthetics COGS (5% of Other)</t>
        </is>
      </c>
      <c r="B33" s="4">
        <f>B6*0.05</f>
        <v/>
      </c>
      <c r="C33" s="4">
        <f>C6*0.05</f>
        <v/>
      </c>
      <c r="D33" s="4">
        <f>D6*0.05</f>
        <v/>
      </c>
      <c r="E33" s="4">
        <f>E6*0.05</f>
        <v/>
      </c>
      <c r="F33" s="4">
        <f>F6*0.05</f>
        <v/>
      </c>
      <c r="G33" s="4">
        <f>G6*0.05</f>
        <v/>
      </c>
      <c r="H33" s="4">
        <f>H6*0.05</f>
        <v/>
      </c>
      <c r="I33" s="4">
        <f>I6*0.05</f>
        <v/>
      </c>
      <c r="J33" s="4">
        <f>J6*0.05</f>
        <v/>
      </c>
      <c r="K33" s="4">
        <f>K6*0.05</f>
        <v/>
      </c>
      <c r="L33" s="4">
        <f>L6*0.05</f>
        <v/>
      </c>
      <c r="M33" s="4">
        <f>M6*0.05</f>
        <v/>
      </c>
    </row>
    <row r="34">
      <c r="A34" t="inlineStr">
        <is>
          <t>Hotel Partnership (5% of Spa)</t>
        </is>
      </c>
      <c r="B34" s="4">
        <f>B4*0.05</f>
        <v/>
      </c>
      <c r="C34" s="4">
        <f>C4*0.05</f>
        <v/>
      </c>
      <c r="D34" s="4">
        <f>D4*0.05</f>
        <v/>
      </c>
      <c r="E34" s="4">
        <f>E4*0.05</f>
        <v/>
      </c>
      <c r="F34" s="4">
        <f>F4*0.05</f>
        <v/>
      </c>
      <c r="G34" s="4">
        <f>G4*0.05</f>
        <v/>
      </c>
      <c r="H34" s="4">
        <f>H4*0.05</f>
        <v/>
      </c>
      <c r="I34" s="4">
        <f>I4*0.05</f>
        <v/>
      </c>
      <c r="J34" s="4">
        <f>J4*0.05</f>
        <v/>
      </c>
      <c r="K34" s="4">
        <f>K4*0.05</f>
        <v/>
      </c>
      <c r="L34" s="4">
        <f>L4*0.05</f>
        <v/>
      </c>
      <c r="M34" s="4">
        <f>M4*0.05</f>
        <v/>
      </c>
    </row>
    <row r="35">
      <c r="A35" t="inlineStr">
        <is>
          <t>Contingency (2% of Total)</t>
        </is>
      </c>
      <c r="B35" s="4">
        <f>B8*0.02</f>
        <v/>
      </c>
      <c r="C35" s="4">
        <f>C8*0.02</f>
        <v/>
      </c>
      <c r="D35" s="4">
        <f>D8*0.02</f>
        <v/>
      </c>
      <c r="E35" s="4">
        <f>E8*0.02</f>
        <v/>
      </c>
      <c r="F35" s="4">
        <f>F8*0.02</f>
        <v/>
      </c>
      <c r="G35" s="4">
        <f>G8*0.02</f>
        <v/>
      </c>
      <c r="H35" s="4">
        <f>H8*0.02</f>
        <v/>
      </c>
      <c r="I35" s="4">
        <f>I8*0.02</f>
        <v/>
      </c>
      <c r="J35" s="4">
        <f>J8*0.02</f>
        <v/>
      </c>
      <c r="K35" s="4">
        <f>K8*0.02</f>
        <v/>
      </c>
      <c r="L35" s="4">
        <f>L8*0.02</f>
        <v/>
      </c>
      <c r="M35" s="4">
        <f>M8*0.02</f>
        <v/>
      </c>
    </row>
    <row r="36">
      <c r="A36" s="6" t="inlineStr">
        <is>
          <t>TOTAL COGS &amp; VARIABLE</t>
        </is>
      </c>
      <c r="B36" s="7">
        <f>B31+B32+B33+B34+B35</f>
        <v/>
      </c>
      <c r="C36" s="7">
        <f>C31+C32+C33+C34+C35</f>
        <v/>
      </c>
      <c r="D36" s="7">
        <f>D31+D32+D33+D34+D35</f>
        <v/>
      </c>
      <c r="E36" s="7">
        <f>E31+E32+E33+E34+E35</f>
        <v/>
      </c>
      <c r="F36" s="7">
        <f>F31+F32+F33+F34+F35</f>
        <v/>
      </c>
      <c r="G36" s="7">
        <f>G31+G32+G33+G34+G35</f>
        <v/>
      </c>
      <c r="H36" s="7">
        <f>H31+H32+H33+H34+H35</f>
        <v/>
      </c>
      <c r="I36" s="7">
        <f>I31+I32+I33+I34+I35</f>
        <v/>
      </c>
      <c r="J36" s="7">
        <f>J31+J32+J33+J34+J35</f>
        <v/>
      </c>
      <c r="K36" s="7">
        <f>K31+K32+K33+K34+K35</f>
        <v/>
      </c>
      <c r="L36" s="7">
        <f>L31+L32+L33+L34+L35</f>
        <v/>
      </c>
      <c r="M36" s="7">
        <f>M31+M32+M33+M34+M35</f>
        <v/>
      </c>
    </row>
    <row r="38">
      <c r="A38" s="8" t="inlineStr">
        <is>
          <t>COST SUMMARY</t>
        </is>
      </c>
    </row>
    <row r="39">
      <c r="A39" t="inlineStr">
        <is>
          <t>Total Payroll</t>
        </is>
      </c>
      <c r="B39" s="4">
        <f>B17</f>
        <v/>
      </c>
      <c r="C39" s="4">
        <f>C17</f>
        <v/>
      </c>
      <c r="D39" s="4">
        <f>D17</f>
        <v/>
      </c>
      <c r="E39" s="4">
        <f>E17</f>
        <v/>
      </c>
      <c r="F39" s="4">
        <f>F17</f>
        <v/>
      </c>
      <c r="G39" s="4">
        <f>G17</f>
        <v/>
      </c>
      <c r="H39" s="4">
        <f>H17</f>
        <v/>
      </c>
      <c r="I39" s="4">
        <f>I17</f>
        <v/>
      </c>
      <c r="J39" s="4">
        <f>J17</f>
        <v/>
      </c>
      <c r="K39" s="4">
        <f>K17</f>
        <v/>
      </c>
      <c r="L39" s="4">
        <f>L17</f>
        <v/>
      </c>
      <c r="M39" s="4">
        <f>M17</f>
        <v/>
      </c>
    </row>
    <row r="40">
      <c r="A40" t="inlineStr">
        <is>
          <t>Total Fixed OpEx</t>
        </is>
      </c>
      <c r="B40" s="4">
        <f>B28</f>
        <v/>
      </c>
      <c r="C40" s="4">
        <f>C28</f>
        <v/>
      </c>
      <c r="D40" s="4">
        <f>D28</f>
        <v/>
      </c>
      <c r="E40" s="4">
        <f>E28</f>
        <v/>
      </c>
      <c r="F40" s="4">
        <f>F28</f>
        <v/>
      </c>
      <c r="G40" s="4">
        <f>G28</f>
        <v/>
      </c>
      <c r="H40" s="4">
        <f>H28</f>
        <v/>
      </c>
      <c r="I40" s="4">
        <f>I28</f>
        <v/>
      </c>
      <c r="J40" s="4">
        <f>J28</f>
        <v/>
      </c>
      <c r="K40" s="4">
        <f>K28</f>
        <v/>
      </c>
      <c r="L40" s="4">
        <f>L28</f>
        <v/>
      </c>
      <c r="M40" s="4">
        <f>M28</f>
        <v/>
      </c>
    </row>
    <row r="41">
      <c r="A41" t="inlineStr">
        <is>
          <t>Total COGS &amp; Variable</t>
        </is>
      </c>
      <c r="B41" s="4">
        <f>B36</f>
        <v/>
      </c>
      <c r="C41" s="4">
        <f>C36</f>
        <v/>
      </c>
      <c r="D41" s="4">
        <f>D36</f>
        <v/>
      </c>
      <c r="E41" s="4">
        <f>E36</f>
        <v/>
      </c>
      <c r="F41" s="4">
        <f>F36</f>
        <v/>
      </c>
      <c r="G41" s="4">
        <f>G36</f>
        <v/>
      </c>
      <c r="H41" s="4">
        <f>H36</f>
        <v/>
      </c>
      <c r="I41" s="4">
        <f>I36</f>
        <v/>
      </c>
      <c r="J41" s="4">
        <f>J36</f>
        <v/>
      </c>
      <c r="K41" s="4">
        <f>K36</f>
        <v/>
      </c>
      <c r="L41" s="4">
        <f>L36</f>
        <v/>
      </c>
      <c r="M41" s="4">
        <f>M36</f>
        <v/>
      </c>
    </row>
    <row r="42">
      <c r="A42" s="6" t="inlineStr">
        <is>
          <t>TOTAL COSTS</t>
        </is>
      </c>
      <c r="B42" s="7">
        <f>B39+B40+B41</f>
        <v/>
      </c>
      <c r="C42" s="7">
        <f>C39+C40+C41</f>
        <v/>
      </c>
      <c r="D42" s="7">
        <f>D39+D40+D41</f>
        <v/>
      </c>
      <c r="E42" s="7">
        <f>E39+E40+E41</f>
        <v/>
      </c>
      <c r="F42" s="7">
        <f>F39+F40+F41</f>
        <v/>
      </c>
      <c r="G42" s="7">
        <f>G39+G40+G41</f>
        <v/>
      </c>
      <c r="H42" s="7">
        <f>H39+H40+H41</f>
        <v/>
      </c>
      <c r="I42" s="7">
        <f>I39+I40+I41</f>
        <v/>
      </c>
      <c r="J42" s="7">
        <f>J39+J40+J41</f>
        <v/>
      </c>
      <c r="K42" s="7">
        <f>K39+K40+K41</f>
        <v/>
      </c>
      <c r="L42" s="7">
        <f>L39+L40+L41</f>
        <v/>
      </c>
      <c r="M42" s="7">
        <f>M39+M40+M41</f>
        <v/>
      </c>
    </row>
    <row r="44">
      <c r="A44" s="9" t="inlineStr">
        <is>
          <t>EBITDA</t>
        </is>
      </c>
      <c r="B44" s="10">
        <f>B8-B42</f>
        <v/>
      </c>
      <c r="C44" s="10">
        <f>C8-C42</f>
        <v/>
      </c>
      <c r="D44" s="10">
        <f>D8-D42</f>
        <v/>
      </c>
      <c r="E44" s="10">
        <f>E8-E42</f>
        <v/>
      </c>
      <c r="F44" s="10">
        <f>F8-F42</f>
        <v/>
      </c>
      <c r="G44" s="10">
        <f>G8-G42</f>
        <v/>
      </c>
      <c r="H44" s="10">
        <f>H8-H42</f>
        <v/>
      </c>
      <c r="I44" s="10">
        <f>I8-I42</f>
        <v/>
      </c>
      <c r="J44" s="10">
        <f>J8-J42</f>
        <v/>
      </c>
      <c r="K44" s="10">
        <f>K8-K42</f>
        <v/>
      </c>
      <c r="L44" s="10">
        <f>L8-L42</f>
        <v/>
      </c>
      <c r="M44" s="10">
        <f>M8-M42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ANNUAL SUMMARY &amp; KPIs (YEAR 1 - BASE CASE)</t>
        </is>
      </c>
    </row>
    <row r="3">
      <c r="A3" s="2" t="inlineStr">
        <is>
          <t>REVENUE ANALYSIS</t>
        </is>
      </c>
    </row>
    <row r="4">
      <c r="A4" t="inlineStr">
        <is>
          <t>Spa Revenue (Year 1)</t>
        </is>
      </c>
      <c r="B4" s="4">
        <f>SUM('Monthly P&amp;L - Detailed'!B4:M4)</f>
        <v/>
      </c>
    </row>
    <row r="5">
      <c r="A5" t="inlineStr">
        <is>
          <t>Nurse Services Revenue</t>
        </is>
      </c>
      <c r="B5" s="4">
        <f>SUM('Monthly P&amp;L - Detailed'!B5:M5)</f>
        <v/>
      </c>
    </row>
    <row r="6">
      <c r="A6" t="inlineStr">
        <is>
          <t>Other Aesthetics Revenue</t>
        </is>
      </c>
      <c r="B6" s="4">
        <f>SUM('Monthly P&amp;L - Detailed'!B6:M6)</f>
        <v/>
      </c>
    </row>
    <row r="7">
      <c r="A7" t="inlineStr">
        <is>
          <t>Total Aesthetics Revenue</t>
        </is>
      </c>
      <c r="B7" s="7">
        <f>SUM('Monthly P&amp;L - Detailed'!B7:M7)</f>
        <v/>
      </c>
    </row>
    <row r="8">
      <c r="A8" t="inlineStr">
        <is>
          <t>TOTAL REVENUE (Year 1)</t>
        </is>
      </c>
      <c r="B8" s="11">
        <f>SUM('Monthly P&amp;L - Detailed'!B8:M8)</f>
        <v/>
      </c>
    </row>
    <row r="10">
      <c r="A10" s="2" t="inlineStr">
        <is>
          <t>PAYROLL ANALYSIS</t>
        </is>
      </c>
    </row>
    <row r="11">
      <c r="A11" t="inlineStr">
        <is>
          <t>Manager (Shared)</t>
        </is>
      </c>
      <c r="B11" s="4">
        <f>SUM('Monthly P&amp;L - Detailed'!B11:M11)</f>
        <v/>
      </c>
    </row>
    <row r="12">
      <c r="A12" t="inlineStr">
        <is>
          <t>Receptionists (Shared)</t>
        </is>
      </c>
      <c r="B12" s="4">
        <f>SUM('Monthly P&amp;L - Detailed'!B12:M12)</f>
        <v/>
      </c>
    </row>
    <row r="13">
      <c r="A13" t="inlineStr">
        <is>
          <t>Spa Therapists</t>
        </is>
      </c>
      <c r="B13" s="4">
        <f>SUM('Monthly P&amp;L - Detailed'!B13:M13)</f>
        <v/>
      </c>
    </row>
    <row r="14">
      <c r="A14" t="inlineStr">
        <is>
          <t>Medical Nurse (Clinic only)</t>
        </is>
      </c>
      <c r="B14" s="4">
        <f>SUM('Monthly P&amp;L - Detailed'!B14:M14)</f>
        <v/>
      </c>
    </row>
    <row r="15">
      <c r="A15" t="inlineStr">
        <is>
          <t>Aesthetics Therapists (Clinic only)</t>
        </is>
      </c>
      <c r="B15" s="4">
        <f>SUM('Monthly P&amp;L - Detailed'!B15:M15)</f>
        <v/>
      </c>
    </row>
    <row r="16">
      <c r="A16" t="inlineStr">
        <is>
          <t>Revenue Share (5% Aesthetics)</t>
        </is>
      </c>
      <c r="B16" s="4">
        <f>SUM('Monthly P&amp;L - Detailed'!B16:M16)</f>
        <v/>
      </c>
    </row>
    <row r="17">
      <c r="A17" t="inlineStr">
        <is>
          <t>TOTAL PAYROLL (Year 1)</t>
        </is>
      </c>
      <c r="B17" s="7">
        <f>SUM('Monthly P&amp;L - Detailed'!B17:M17)</f>
        <v/>
      </c>
    </row>
    <row r="19">
      <c r="A19" s="2" t="inlineStr">
        <is>
          <t>OPERATING COSTS ANALYSIS</t>
        </is>
      </c>
    </row>
    <row r="20">
      <c r="A20" t="inlineStr">
        <is>
          <t>Total Fixed OpEx</t>
        </is>
      </c>
      <c r="B20" s="4">
        <f>SUM('Monthly P&amp;L - Detailed'!B28:M28)</f>
        <v/>
      </c>
    </row>
    <row r="21">
      <c r="A21" t="inlineStr">
        <is>
          <t>Total COGS &amp; Variable</t>
        </is>
      </c>
      <c r="B21" s="4">
        <f>SUM('Monthly P&amp;L - Detailed'!B36:M36)</f>
        <v/>
      </c>
    </row>
    <row r="22">
      <c r="A22" t="inlineStr">
        <is>
          <t>TOTAL COSTS (Year 1)</t>
        </is>
      </c>
      <c r="B22" s="7">
        <f>B20+B21</f>
        <v/>
      </c>
    </row>
    <row r="24">
      <c r="A24" s="2" t="inlineStr">
        <is>
          <t>PROFITABILITY</t>
        </is>
      </c>
    </row>
    <row r="25">
      <c r="A25" t="inlineStr">
        <is>
          <t>YEAR 1 EBITDA</t>
        </is>
      </c>
      <c r="B25" s="12">
        <f>SUM('Monthly P&amp;L - Detailed'!B44:M44)</f>
        <v/>
      </c>
    </row>
    <row r="26">
      <c r="A26" t="inlineStr">
        <is>
          <t>EBITDA Margin</t>
        </is>
      </c>
      <c r="B26" s="13">
        <f>B25/B8</f>
        <v/>
      </c>
    </row>
    <row r="28">
      <c r="A28" s="2" t="inlineStr">
        <is>
          <t>KEY EFFICIENCY METRICS</t>
        </is>
      </c>
    </row>
    <row r="29">
      <c r="A29" t="inlineStr">
        <is>
          <t>Payroll % of Revenue</t>
        </is>
      </c>
      <c r="B29" s="5">
        <f>B17/B8</f>
        <v/>
      </c>
    </row>
    <row r="30">
      <c r="A30" t="inlineStr">
        <is>
          <t>OpEx % of Revenue (excl. COGS)</t>
        </is>
      </c>
      <c r="B30" s="5">
        <f>B20/B8</f>
        <v/>
      </c>
    </row>
    <row r="31">
      <c r="A31" t="inlineStr">
        <is>
          <t>COGS/Variable % of Revenue</t>
        </is>
      </c>
      <c r="B31" s="5">
        <f>B21/B8</f>
        <v/>
      </c>
    </row>
    <row r="33">
      <c r="A33" s="2" t="inlineStr">
        <is>
          <t>VALUATION FRAMEWORK</t>
        </is>
      </c>
    </row>
    <row r="34">
      <c r="A34" t="inlineStr">
        <is>
          <t>Year 1 EBITDA</t>
        </is>
      </c>
      <c r="B34" s="4">
        <f>B25</f>
        <v/>
      </c>
    </row>
    <row r="35">
      <c r="A35" t="inlineStr">
        <is>
          <t>EBITDA Multiple (5x - Conservative)</t>
        </is>
      </c>
      <c r="B35" s="4">
        <f>B34*5</f>
        <v/>
      </c>
    </row>
    <row r="36">
      <c r="A36" t="inlineStr">
        <is>
          <t>EBITDA Multiple (6x - Fair Value)</t>
        </is>
      </c>
      <c r="B36" s="4">
        <f>B34*6</f>
        <v/>
      </c>
    </row>
    <row r="37">
      <c r="A37" t="inlineStr">
        <is>
          <t>Enterprise Value (Fair)</t>
        </is>
      </c>
      <c r="B37" s="7">
        <f>B36</f>
        <v/>
      </c>
    </row>
    <row r="39">
      <c r="A39" s="2" t="inlineStr">
        <is>
          <t>ACQUISITION PRICE FRAMEWORK</t>
        </is>
      </c>
    </row>
    <row r="40">
      <c r="A40" t="inlineStr">
        <is>
          <t>Opening Offer (Anchor)</t>
        </is>
      </c>
      <c r="B40" s="4" t="n">
        <v>40000</v>
      </c>
    </row>
    <row r="41">
      <c r="A41" t="inlineStr">
        <is>
          <t>Target Offer (65% of Fair)</t>
        </is>
      </c>
      <c r="B41" s="4">
        <f>B37*0.65</f>
        <v/>
      </c>
    </row>
    <row r="42">
      <c r="A42" t="inlineStr">
        <is>
          <t>Walk-Away Price (BATNA Ceiling)</t>
        </is>
      </c>
      <c r="B42" s="4" t="n">
        <v>150000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35" customWidth="1" min="1" max="1"/>
    <col width="45" customWidth="1" min="2" max="2"/>
    <col width="40" customWidth="1" min="3" max="3"/>
  </cols>
  <sheetData>
    <row r="1">
      <c r="A1" s="1" t="inlineStr">
        <is>
          <t>NEGOTIATION STRATEGY &amp; KEY CONSIDERATIONS</t>
        </is>
      </c>
    </row>
    <row r="3">
      <c r="A3" s="14" t="inlineStr">
        <is>
          <t>CRITICAL PRINCIPLE:</t>
        </is>
      </c>
    </row>
    <row r="4">
      <c r="A4" s="15" t="inlineStr">
        <is>
          <t>Price the CURRENT business value, not your future potential. The clinic is YOUR advantage, not the seller's.</t>
        </is>
      </c>
    </row>
    <row r="6">
      <c r="A6" s="2" t="inlineStr">
        <is>
          <t>YOUR BATNA &amp; LEVERAGE POSITION</t>
        </is>
      </c>
    </row>
    <row r="7">
      <c r="A7" s="6" t="inlineStr">
        <is>
          <t>✓ You have zero urgency</t>
        </is>
      </c>
      <c r="B7" s="16" t="inlineStr">
        <is>
          <t>Seller reached out, not vice versa</t>
        </is>
      </c>
    </row>
    <row r="8">
      <c r="A8" s="6" t="inlineStr">
        <is>
          <t>✓ Business is currently loss-making</t>
        </is>
      </c>
      <c r="B8" s="16" t="inlineStr">
        <is>
          <t>At €8K+ rent, monthly EBITDA is negative (CURRENT STATE)</t>
        </is>
      </c>
    </row>
    <row r="9">
      <c r="A9" s="6" t="inlineStr">
        <is>
          <t>✓ Owner is disengaged</t>
        </is>
      </c>
      <c r="B9" s="16" t="inlineStr">
        <is>
          <t>Has not invested in operations for 2+ years</t>
        </is>
      </c>
    </row>
    <row r="10">
      <c r="A10" s="6" t="inlineStr">
        <is>
          <t>✓ Equipment is worth far less than capex</t>
        </is>
      </c>
      <c r="B10" s="16" t="inlineStr">
        <is>
          <t>Fair market value €150-200K vs €1M capex invested</t>
        </is>
      </c>
    </row>
    <row r="11">
      <c r="A11" s="6" t="inlineStr">
        <is>
          <t>✓ Lease is conditional on landlord approval</t>
        </is>
      </c>
      <c r="B11" s="16" t="inlineStr">
        <is>
          <t>Unknown if assignment is freely given or costs extra</t>
        </is>
      </c>
    </row>
    <row r="14">
      <c r="A14" s="2" t="inlineStr">
        <is>
          <t>KEY ARGUMENTS FOR LOWER PRICING</t>
        </is>
      </c>
    </row>
    <row r="15">
      <c r="A15" s="8" t="inlineStr">
        <is>
          <t>KILLER ARGUMENTS (Use First)</t>
        </is>
      </c>
    </row>
    <row r="16">
      <c r="A16" s="6" t="inlineStr">
        <is>
          <t>→ Sunk Cost Fallacy</t>
        </is>
      </c>
      <c r="B16" s="16" t="inlineStr">
        <is>
          <t>Your €1M investment is already gone. Selling doesn't create the loss—it STOPS additional losses.</t>
        </is>
      </c>
    </row>
    <row r="17">
      <c r="A17" s="6" t="inlineStr">
        <is>
          <t>→ Business Model is Negative at Current Rent</t>
        </is>
      </c>
      <c r="B17" s="16" t="inlineStr">
        <is>
          <t>At €8K rent, monthly EBITDA = -€850. This is a LOSS-MAKING business. No buyer prices a losing business above asset value.</t>
        </is>
      </c>
    </row>
    <row r="18">
      <c r="A18" s="6" t="inlineStr">
        <is>
          <t>→ Revenue Collapsed 50%</t>
        </is>
      </c>
      <c r="B18" s="16" t="inlineStr">
        <is>
          <t>Peak was €40-50K/month; now €20-25K. Why? What changed? Until you diagnose this, the business is high-risk.</t>
        </is>
      </c>
    </row>
    <row r="19">
      <c r="A19" s="6" t="inlineStr">
        <is>
          <t>→ Equipment Appraisal is Required</t>
        </is>
      </c>
      <c r="B19" s="16" t="inlineStr">
        <is>
          <t>Let's get independent valuation. FMV is likely €150-200K. This removes emotional guessing.</t>
        </is>
      </c>
    </row>
    <row r="22">
      <c r="A22" s="2" t="inlineStr">
        <is>
          <t>PRICE ANCHOR STRATEGY (Ackermann Sequence)</t>
        </is>
      </c>
    </row>
    <row r="23">
      <c r="A23" s="3" t="inlineStr">
        <is>
          <t>Stage</t>
        </is>
      </c>
      <c r="B23" s="3" t="inlineStr">
        <is>
          <t>Price</t>
        </is>
      </c>
      <c r="C23" s="3" t="inlineStr">
        <is>
          <t>Conditional Upon</t>
        </is>
      </c>
    </row>
    <row r="24">
      <c r="A24" t="inlineStr">
        <is>
          <t>1. Anchor (Opening)</t>
        </is>
      </c>
      <c r="B24" s="4" t="n">
        <v>40000</v>
      </c>
      <c r="C24" s="16" t="inlineStr">
        <is>
          <t>No conditions - establish opening range</t>
        </is>
      </c>
    </row>
    <row r="25">
      <c r="A25" t="inlineStr">
        <is>
          <t>2. Move 1</t>
        </is>
      </c>
      <c r="B25" s="4" t="n">
        <v>70000</v>
      </c>
      <c r="C25" s="16" t="inlineStr">
        <is>
          <t>+ Equipment appraisal + Landlord assignment confirmation</t>
        </is>
      </c>
    </row>
    <row r="26">
      <c r="A26" t="inlineStr">
        <is>
          <t>3. Move 2</t>
        </is>
      </c>
      <c r="B26" s="4" t="n">
        <v>100000</v>
      </c>
      <c r="C26" s="16" t="inlineStr">
        <is>
          <t>+ 24-month P&amp;L documentation + Revenue decline diagnosis</t>
        </is>
      </c>
    </row>
    <row r="27">
      <c r="A27" t="inlineStr">
        <is>
          <t>4. Move 3</t>
        </is>
      </c>
      <c r="B27" s="4" t="n">
        <v>125000</v>
      </c>
      <c r="C27" s="16" t="inlineStr">
        <is>
          <t>"We're very close" conversation</t>
        </is>
      </c>
    </row>
    <row r="28">
      <c r="A28" t="inlineStr">
        <is>
          <t>5. Final</t>
        </is>
      </c>
      <c r="B28" s="4" t="n">
        <v>150000</v>
      </c>
      <c r="C28" s="16" t="inlineStr">
        <is>
          <t>+ 45-day close + Indemnification + Mutual legal fees</t>
        </is>
      </c>
    </row>
    <row r="31">
      <c r="A31" s="2" t="inlineStr">
        <is>
          <t>POWER SCRIPTS (Exact Phrasing)</t>
        </is>
      </c>
    </row>
    <row r="32">
      <c r="A32" s="6" t="inlineStr">
        <is>
          <t>On Sunk Cost</t>
        </is>
      </c>
      <c r="B32" s="17" t="inlineStr">
        <is>
          <t>"I understand completely why you look at what was put into this place and feel the number should reflect that. But the market—any buyer—asks one question: what does this business earn TODAY? Not what it cost to build. That's just how acquisitions are priced."</t>
        </is>
      </c>
    </row>
    <row r="33">
      <c r="A33" s="6" t="inlineStr">
        <is>
          <t>On Revenue Decline</t>
        </is>
      </c>
      <c r="B33" s="17" t="inlineStr">
        <is>
          <t>"The revenue is down 50% from peak. My job is to understand why. That's not criticism; it's risk assessment. Until we diagnose it, every buyer assumes it's structural. Let's pull 24 months of P&amp;L together and talk about it."</t>
        </is>
      </c>
    </row>
    <row r="34">
      <c r="A34" s="6" t="inlineStr">
        <is>
          <t>On Equipment</t>
        </is>
      </c>
      <c r="B34" s="17" t="inlineStr">
        <is>
          <t>"Let's get a neutral third-party equipment appraisal. It protects both of us. If it comes back higher than my estimate, we adjust. Fair?"</t>
        </is>
      </c>
    </row>
    <row r="35">
      <c r="A35" s="6" t="inlineStr">
        <is>
          <t>Closing Technique</t>
        </is>
      </c>
      <c r="B35" s="17" t="inlineStr">
        <is>
          <t>"It sounds like if we land somewhere around [TARGET], we'd have a deal. Am I reading that right?"</t>
        </is>
      </c>
    </row>
    <row r="38">
      <c r="A38" s="2" t="inlineStr">
        <is>
          <t>RED LINES (Walk Away If...)</t>
        </is>
      </c>
    </row>
    <row r="39">
      <c r="A39" s="16" t="inlineStr">
        <is>
          <t>1. Rent &gt; €10K/month AND seller demands &gt; €250K</t>
        </is>
      </c>
    </row>
    <row r="40">
      <c r="A40" s="16" t="inlineStr">
        <is>
          <t>2. Undisclosed equipment financing or business debts</t>
        </is>
      </c>
    </row>
    <row r="41">
      <c r="A41" s="16" t="inlineStr">
        <is>
          <t>3. Landlord consent uncertain or will cost material premium (&gt;€5K)</t>
        </is>
      </c>
    </row>
    <row r="42">
      <c r="A42" s="16" t="inlineStr">
        <is>
          <t>4. Revenue significantly below stated (&gt;20% variance)</t>
        </is>
      </c>
    </row>
    <row r="43">
      <c r="A43" s="16" t="inlineStr">
        <is>
          <t>5. Unresolved Numi legal complications</t>
        </is>
      </c>
    </row>
    <row r="44">
      <c r="A44" s="16" t="inlineStr">
        <is>
          <t>6. After 3 Ackermann moves, seller still anchored &gt; €200K without movement</t>
        </is>
      </c>
    </row>
    <row r="47">
      <c r="A47" s="2" t="inlineStr">
        <is>
          <t>MEETING PROTOCOL (4 ACTS)</t>
        </is>
      </c>
    </row>
    <row r="48">
      <c r="A48" s="6" t="inlineStr">
        <is>
          <t>ACT 1: Intelligence (20-30 min)</t>
        </is>
      </c>
      <c r="B48" s="16" t="inlineStr">
        <is>
          <t>Ask 5 questions: biggest challenge? Monthly picture? Success looks like? Timeframe? Other conversations? REVEAL NOTHING.</t>
        </is>
      </c>
    </row>
    <row r="49">
      <c r="A49" s="6" t="inlineStr">
        <is>
          <t>ACT 2: Reframe (20-30 min)</t>
        </is>
      </c>
      <c r="B49" s="16" t="inlineStr">
        <is>
          <t>Introduce equipment appraisal. Present EBITDA framework. Redirect from sunk cost to forward earnings.</t>
        </is>
      </c>
    </row>
    <row r="50">
      <c r="A50" s="6" t="inlineStr">
        <is>
          <t>ACT 3: The Offer (20-30 min)</t>
        </is>
      </c>
      <c r="B50" s="16" t="inlineStr">
        <is>
          <t>Drop anchor €40K. Hold silence. Use Ackermann sequence. React with questions, not counter-offers.</t>
        </is>
      </c>
    </row>
    <row r="51">
      <c r="A51" s="6" t="inlineStr">
        <is>
          <t>ACT 4: Close or Exit (10-15 min)</t>
        </is>
      </c>
      <c r="B51" s="16" t="inlineStr">
        <is>
          <t>Trial close OR graceful exit. NEVER close today. "Every month has a cost. I'll be in touch in a few days."</t>
        </is>
      </c>
    </row>
    <row r="54">
      <c r="A54" s="2" t="inlineStr">
        <is>
          <t>CRITICAL DUE DILIGENCE ITEMS (Before Price Agreement)</t>
        </is>
      </c>
    </row>
    <row r="55">
      <c r="A55" s="16" t="inlineStr">
        <is>
          <t>☐ 24-month P&amp;L statements (month-by-month)</t>
        </is>
      </c>
    </row>
    <row r="56">
      <c r="A56" s="16" t="inlineStr">
        <is>
          <t>☐ 24-month bank statements (verify revenue)</t>
        </is>
      </c>
    </row>
    <row r="57">
      <c r="A57" s="16" t="inlineStr">
        <is>
          <t>☐ Full lease agreement &amp; landlord assignment clause</t>
        </is>
      </c>
    </row>
    <row r="58">
      <c r="A58" s="16" t="inlineStr">
        <is>
          <t>☐ Landlord written confirmation of assignment willingness</t>
        </is>
      </c>
    </row>
    <row r="59">
      <c r="A59" s="16" t="inlineStr">
        <is>
          <t>☐ Equipment inventory + service records</t>
        </is>
      </c>
    </row>
    <row r="60">
      <c r="A60" s="16" t="inlineStr">
        <is>
          <t>☐ Any equipment financing agreements or liens</t>
        </is>
      </c>
    </row>
    <row r="61">
      <c r="A61" s="16" t="inlineStr">
        <is>
          <t>☐ Staff contracts &amp; payroll records (2 years)</t>
        </is>
      </c>
    </row>
    <row r="62">
      <c r="A62" s="16" t="inlineStr">
        <is>
          <t>☐ Numi separation agreement (written confirmation)</t>
        </is>
      </c>
    </row>
    <row r="63">
      <c r="A63" s="16" t="inlineStr">
        <is>
          <t>☐ VAT compliance - last 8 quarters</t>
        </is>
      </c>
    </row>
    <row r="64">
      <c r="A64" s="16" t="inlineStr">
        <is>
          <t>☐ Outstanding creditor schedule</t>
        </is>
      </c>
    </row>
    <row r="65">
      <c r="A65" s="16" t="inlineStr">
        <is>
          <t>☐ Any pending legal claims</t>
        </is>
      </c>
    </row>
  </sheetData>
  <mergeCells count="42">
    <mergeCell ref="A41:C41"/>
    <mergeCell ref="B16:C16"/>
    <mergeCell ref="B7:C7"/>
    <mergeCell ref="A56:C56"/>
    <mergeCell ref="A3:C3"/>
    <mergeCell ref="A55:C55"/>
    <mergeCell ref="B18:C18"/>
    <mergeCell ref="C28"/>
    <mergeCell ref="A57:C57"/>
    <mergeCell ref="A42:C42"/>
    <mergeCell ref="B48:C48"/>
    <mergeCell ref="B11:C11"/>
    <mergeCell ref="A62:C62"/>
    <mergeCell ref="C24"/>
    <mergeCell ref="B17:C17"/>
    <mergeCell ref="A4:C4"/>
    <mergeCell ref="B8:C8"/>
    <mergeCell ref="A43:C43"/>
    <mergeCell ref="A63:C63"/>
    <mergeCell ref="A44:C44"/>
    <mergeCell ref="C26"/>
    <mergeCell ref="B19:C19"/>
    <mergeCell ref="B34:C34"/>
    <mergeCell ref="B10:C10"/>
    <mergeCell ref="A58:C58"/>
    <mergeCell ref="A40:C40"/>
    <mergeCell ref="C25"/>
    <mergeCell ref="A39:C39"/>
    <mergeCell ref="B9:C9"/>
    <mergeCell ref="A59:C59"/>
    <mergeCell ref="B49:C49"/>
    <mergeCell ref="B35:C35"/>
    <mergeCell ref="A64:C64"/>
    <mergeCell ref="A60:C60"/>
    <mergeCell ref="B33:C33"/>
    <mergeCell ref="A1:C1"/>
    <mergeCell ref="B51:C51"/>
    <mergeCell ref="A61:C61"/>
    <mergeCell ref="B32:C32"/>
    <mergeCell ref="B50:C50"/>
    <mergeCell ref="A65:C65"/>
    <mergeCell ref="C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INVESTMENT SENSITIVITY ANALYSIS - PAYBACK PERIOD (Years)</t>
        </is>
      </c>
    </row>
    <row r="3">
      <c r="A3" s="3" t="inlineStr">
        <is>
          <t>Assumption</t>
        </is>
      </c>
      <c r="B3" s="18" t="inlineStr">
        <is>
          <t>€300K Capex</t>
        </is>
      </c>
      <c r="C3" s="18" t="inlineStr">
        <is>
          <t>€400K Capex</t>
        </is>
      </c>
      <c r="D3" s="18" t="inlineStr">
        <is>
          <t>€500K Capex</t>
        </is>
      </c>
    </row>
    <row r="4">
      <c r="A4" s="19" t="inlineStr">
        <is>
          <t>CONSERVATIVE</t>
        </is>
      </c>
      <c r="B4" s="20" t="n">
        <v>5.971931919976112</v>
      </c>
      <c r="C4" s="20" t="n">
        <v>7.962575893301483</v>
      </c>
      <c r="D4" s="20" t="n">
        <v>9.953219866626855</v>
      </c>
    </row>
    <row r="5">
      <c r="A5" s="21" t="inlineStr">
        <is>
          <t>BASE CASE</t>
        </is>
      </c>
      <c r="B5" s="22" t="n">
        <v>1.673056814220983</v>
      </c>
      <c r="C5" s="22" t="n">
        <v>2.230742418961311</v>
      </c>
      <c r="D5" s="22" t="n">
        <v>2.788428023701638</v>
      </c>
    </row>
    <row r="6">
      <c r="A6" s="23" t="inlineStr">
        <is>
          <t>BULL/OPTIMISTIC</t>
        </is>
      </c>
      <c r="B6" s="24" t="n">
        <v>0.8620937383258139</v>
      </c>
      <c r="C6" s="24" t="n">
        <v>1.149458317767752</v>
      </c>
      <c r="D6" s="24" t="n">
        <v>1.43682289720969</v>
      </c>
    </row>
    <row r="9">
      <c r="A9" s="2" t="inlineStr">
        <is>
          <t>INTERPRETATION &amp; INSIGHTS</t>
        </is>
      </c>
    </row>
    <row r="10">
      <c r="A10" s="6" t="inlineStr">
        <is>
          <t>Best Case</t>
        </is>
      </c>
      <c r="B10" t="inlineStr">
        <is>
          <t>Bull case with €300K capex: 0.9 years to payback</t>
        </is>
      </c>
    </row>
    <row r="11">
      <c r="A11" s="6" t="inlineStr">
        <is>
          <t>Base Case</t>
        </is>
      </c>
      <c r="B11" t="inlineStr">
        <is>
          <t>Base case with €400K capex: 2.2 years to payback</t>
        </is>
      </c>
    </row>
    <row r="12">
      <c r="A12" s="6" t="inlineStr">
        <is>
          <t>Worst Case</t>
        </is>
      </c>
      <c r="B12" t="inlineStr">
        <is>
          <t>Conservative with €500K capex: 10.0 years to payback</t>
        </is>
      </c>
    </row>
    <row r="13">
      <c r="A13" t="inlineStr"/>
      <c r="B13" t="inlineStr"/>
    </row>
    <row r="14">
      <c r="A14" s="6" t="inlineStr">
        <is>
          <t>Revenue Sensitivity</t>
        </is>
      </c>
      <c r="B14" t="inlineStr">
        <is>
          <t>Conservative: €472,000</t>
        </is>
      </c>
    </row>
    <row r="15">
      <c r="A15" t="inlineStr"/>
      <c r="B15" t="inlineStr">
        <is>
          <t>Base: €631,000</t>
        </is>
      </c>
    </row>
    <row r="16">
      <c r="A16" t="inlineStr"/>
      <c r="B16" t="inlineStr">
        <is>
          <t>Bull: €834,000</t>
        </is>
      </c>
    </row>
    <row r="17">
      <c r="A17" t="inlineStr"/>
      <c r="B17" t="inlineStr"/>
    </row>
    <row r="18">
      <c r="A18" s="6" t="inlineStr">
        <is>
          <t>EBITDA Sensitivity</t>
        </is>
      </c>
      <c r="B18" t="inlineStr">
        <is>
          <t>Conservative: €50,235 (range -43% to +62% vs base)</t>
        </is>
      </c>
    </row>
    <row r="19">
      <c r="A19" t="inlineStr"/>
      <c r="B19" t="inlineStr">
        <is>
          <t>Base: €179,312</t>
        </is>
      </c>
    </row>
    <row r="20">
      <c r="A20" t="inlineStr"/>
      <c r="B20" t="inlineStr">
        <is>
          <t>Bull: €347,990</t>
        </is>
      </c>
    </row>
    <row r="23">
      <c r="A23" s="2" t="inlineStr">
        <is>
          <t>FULL-YEAR FINANCIAL COMPARISON</t>
        </is>
      </c>
    </row>
    <row r="24">
      <c r="A24" s="25" t="inlineStr">
        <is>
          <t>Scenario</t>
        </is>
      </c>
      <c r="B24" s="25" t="inlineStr">
        <is>
          <t>Year 1 Revenue</t>
        </is>
      </c>
      <c r="C24" s="25" t="inlineStr">
        <is>
          <t>Year 1 Payroll</t>
        </is>
      </c>
      <c r="D24" s="25" t="inlineStr">
        <is>
          <t>Year 1 OpEx+COGS</t>
        </is>
      </c>
      <c r="E24" s="25" t="inlineStr">
        <is>
          <t>Year 1 EBITDA</t>
        </is>
      </c>
      <c r="F24" s="25" t="inlineStr">
        <is>
          <t>EBITDA Margin</t>
        </is>
      </c>
    </row>
    <row r="25">
      <c r="A25" t="inlineStr">
        <is>
          <t>CONSERVATIVE</t>
        </is>
      </c>
      <c r="B25" s="4" t="n">
        <v>472000</v>
      </c>
      <c r="C25" s="4" t="n">
        <v>203797.7812995246</v>
      </c>
      <c r="D25" s="4" t="n">
        <v>136861.2995245642</v>
      </c>
      <c r="E25" s="4" t="n">
        <v>50235</v>
      </c>
      <c r="F25" s="5" t="n">
        <v>0.1064300847457627</v>
      </c>
    </row>
    <row r="26">
      <c r="A26" t="inlineStr">
        <is>
          <t>BASE CASE</t>
        </is>
      </c>
      <c r="B26" s="4" t="n">
        <v>631000</v>
      </c>
      <c r="C26" s="4" t="n">
        <v>272450</v>
      </c>
      <c r="D26" s="4" t="n">
        <v>182965</v>
      </c>
      <c r="E26" s="4" t="n">
        <v>179312.5</v>
      </c>
      <c r="F26" s="5" t="n">
        <v>0.2841719492868462</v>
      </c>
    </row>
    <row r="27">
      <c r="A27" t="inlineStr">
        <is>
          <t>BULL</t>
        </is>
      </c>
      <c r="B27" s="4" t="n">
        <v>834000</v>
      </c>
      <c r="C27" s="4" t="n">
        <v>360100.3169572108</v>
      </c>
      <c r="D27" s="4" t="n">
        <v>241826.9572107765</v>
      </c>
      <c r="E27" s="4" t="n">
        <v>347990</v>
      </c>
      <c r="F27" s="5" t="n">
        <v>0.4172541966426859</v>
      </c>
    </row>
  </sheetData>
  <mergeCells count="12">
    <mergeCell ref="B16:G16"/>
    <mergeCell ref="B19:G19"/>
    <mergeCell ref="B20:G20"/>
    <mergeCell ref="B10:G10"/>
    <mergeCell ref="A1:G1"/>
    <mergeCell ref="B14:G14"/>
    <mergeCell ref="B17:G17"/>
    <mergeCell ref="B12:G12"/>
    <mergeCell ref="B13:G13"/>
    <mergeCell ref="B18:G18"/>
    <mergeCell ref="B15:G15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2026-02-22T05:55:25Z</dcterms:created>
  <dcterms:modified xsi:type="dcterms:W3CDTF">2026-02-22T05:58:30Z</dcterms:modified>
</cp:coreProperties>
</file>