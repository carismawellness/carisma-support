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Staffing" sheetId="1" state="visible" r:id="rId1"/>
    <sheet name="Monthly P&amp;L Model" sheetId="2" state="visible" r:id="rId2"/>
    <sheet name="Annual Summary &amp; KP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b val="1"/>
      <color rgb="00FFFFFF"/>
      <sz val="11"/>
    </font>
    <font>
      <b val="1"/>
      <color rgb="00FFFFFF"/>
      <sz val="12"/>
    </font>
    <font>
      <b val="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4" borderId="0" pivotButton="0" quotePrefix="0" xfId="0"/>
    <xf numFmtId="164" fontId="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5" borderId="0" applyAlignment="1" pivotButton="0" quotePrefix="0" xfId="0">
      <alignment horizontal="center" vertical="center" wrapText="1"/>
    </xf>
    <xf numFmtId="0" fontId="2" fillId="6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4" fillId="2" borderId="0" pivotButton="0" quotePrefix="0" xfId="0"/>
    <xf numFmtId="0" fontId="5" fillId="0" borderId="0" pivotButton="0" quotePrefix="0" xfId="0"/>
    <xf numFmtId="164" fontId="5" fillId="5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3" fillId="2" borderId="0" pivotButton="0" quotePrefix="0" xfId="0"/>
    <xf numFmtId="0" fontId="6" fillId="0" borderId="0" pivotButton="0" quotePrefix="0" xfId="0"/>
    <xf numFmtId="164" fontId="6" fillId="7" borderId="0" applyAlignment="1" pivotButton="0" quotePrefix="0" xfId="0">
      <alignment horizontal="center" vertical="center" wrapText="1"/>
    </xf>
    <xf numFmtId="164" fontId="6" fillId="5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5" fillId="6" borderId="0" pivotButton="0" quotePrefix="0" xfId="0"/>
    <xf numFmtId="164" fontId="5" fillId="6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50" customWidth="1" min="4" max="4"/>
  </cols>
  <sheetData>
    <row r="1" ht="25" customHeight="1">
      <c r="A1" s="1" t="inlineStr">
        <is>
          <t>INA SPA MALTA — CONSOLIDATED FINANCIAL MODEL</t>
        </is>
      </c>
    </row>
    <row r="3">
      <c r="A3" s="2" t="inlineStr">
        <is>
          <t>PART 1: REVENUE ASSUMPTIONS</t>
        </is>
      </c>
    </row>
    <row r="4">
      <c r="A4" s="3" t="inlineStr">
        <is>
          <t>Revenue Driver</t>
        </is>
      </c>
      <c r="B4" s="3" t="inlineStr">
        <is>
          <t>Conservative</t>
        </is>
      </c>
      <c r="C4" s="3" t="inlineStr">
        <is>
          <t>Base Case</t>
        </is>
      </c>
      <c r="D4" s="3" t="inlineStr">
        <is>
          <t>Optimistic</t>
        </is>
      </c>
    </row>
    <row r="5">
      <c r="A5" s="4" t="inlineStr">
        <is>
          <t>SPA OPERATIONS</t>
        </is>
      </c>
    </row>
    <row r="6">
      <c r="A6" t="inlineStr">
        <is>
          <t>Current Monthly Revenue</t>
        </is>
      </c>
      <c r="B6" s="5" t="n">
        <v>22500</v>
      </c>
      <c r="C6" s="5" t="n">
        <v>22500</v>
      </c>
      <c r="D6" s="5" t="n">
        <v>22500</v>
      </c>
    </row>
    <row r="7">
      <c r="A7" t="inlineStr">
        <is>
          <t>Target Month 12 Revenue</t>
        </is>
      </c>
      <c r="B7" s="5" t="n">
        <v>40000</v>
      </c>
      <c r="C7" s="5" t="n">
        <v>60000</v>
      </c>
      <c r="D7" s="5" t="n">
        <v>75000</v>
      </c>
    </row>
    <row r="8">
      <c r="A8" t="inlineStr">
        <is>
          <t>Average Spa Treatment Price</t>
        </is>
      </c>
      <c r="B8" s="5" t="n">
        <v>80</v>
      </c>
      <c r="C8" s="5" t="n">
        <v>85</v>
      </c>
      <c r="D8" s="5" t="n">
        <v>90</v>
      </c>
    </row>
    <row r="9">
      <c r="A9" t="inlineStr">
        <is>
          <t>Monthly Spa Treatments</t>
        </is>
      </c>
      <c r="B9" s="6" t="n">
        <v>313</v>
      </c>
      <c r="C9" s="6" t="n">
        <v>706</v>
      </c>
      <c r="D9" s="6" t="n">
        <v>833</v>
      </c>
    </row>
    <row r="10">
      <c r="A10" t="inlineStr">
        <is>
          <t>Spa Utilization Target</t>
        </is>
      </c>
      <c r="B10" s="7" t="n">
        <v>0.55</v>
      </c>
      <c r="C10" s="7" t="n">
        <v>0.65</v>
      </c>
      <c r="D10" s="7" t="n">
        <v>0.75</v>
      </c>
    </row>
    <row r="12">
      <c r="A12" s="4" t="inlineStr">
        <is>
          <t>MEDICAL AESTHETICS CLINIC</t>
        </is>
      </c>
    </row>
    <row r="13">
      <c r="A13" t="inlineStr">
        <is>
          <t>Month of Launch</t>
        </is>
      </c>
      <c r="B13" s="8" t="n">
        <v>4</v>
      </c>
      <c r="C13" s="8" t="n">
        <v>4</v>
      </c>
      <c r="D13" s="8" t="n">
        <v>3</v>
      </c>
    </row>
    <row r="14">
      <c r="A14" t="inlineStr">
        <is>
          <t>Monthly Aesthetics Revenue (Stabilized)</t>
        </is>
      </c>
      <c r="B14" s="5" t="n">
        <v>15000</v>
      </c>
      <c r="C14" s="5" t="n">
        <v>25000</v>
      </c>
      <c r="D14" s="5" t="n">
        <v>35000</v>
      </c>
    </row>
    <row r="15">
      <c r="A15" t="inlineStr">
        <is>
          <t>Average Aesthetics Price</t>
        </is>
      </c>
      <c r="B15" s="5" t="n">
        <v>300</v>
      </c>
      <c r="C15" s="5" t="n">
        <v>325</v>
      </c>
      <c r="D15" s="5" t="n">
        <v>350</v>
      </c>
    </row>
    <row r="16">
      <c r="A16" t="inlineStr">
        <is>
          <t>Monthly Aesthetics Treatments</t>
        </is>
      </c>
      <c r="B16" s="6" t="n">
        <v>50</v>
      </c>
      <c r="C16" s="6" t="n">
        <v>77</v>
      </c>
      <c r="D16" s="6" t="n">
        <v>100</v>
      </c>
    </row>
    <row r="17">
      <c r="A17" t="inlineStr">
        <is>
          <t>Aesthetics Utilization Target</t>
        </is>
      </c>
      <c r="B17" s="7" t="n">
        <v>0.4</v>
      </c>
      <c r="C17" s="7" t="n">
        <v>0.65</v>
      </c>
      <c r="D17" s="7" t="n">
        <v>0.85</v>
      </c>
    </row>
    <row r="19">
      <c r="A19" s="4" t="inlineStr">
        <is>
          <t>ANCILLARY REVENUE</t>
        </is>
      </c>
    </row>
    <row r="20">
      <c r="A20" t="inlineStr">
        <is>
          <t>Retail Skincare (% of Revenue)</t>
        </is>
      </c>
      <c r="B20" s="7" t="n">
        <v>0.02</v>
      </c>
      <c r="C20" s="7" t="n">
        <v>0.03</v>
      </c>
      <c r="D20" s="7" t="n">
        <v>0.05</v>
      </c>
    </row>
    <row r="21">
      <c r="A21" t="inlineStr">
        <is>
          <t>Corporate/Hotel Partnerships</t>
        </is>
      </c>
      <c r="B21" s="8" t="n">
        <v>1000</v>
      </c>
      <c r="C21" s="8" t="n">
        <v>2000</v>
      </c>
      <c r="D21" s="8" t="n">
        <v>3000</v>
      </c>
    </row>
    <row r="24">
      <c r="A24" s="2" t="inlineStr">
        <is>
          <t>PART 2: STAFFING MODEL &amp; COSTS</t>
        </is>
      </c>
    </row>
    <row r="25">
      <c r="A25" s="3" t="inlineStr">
        <is>
          <t>Position</t>
        </is>
      </c>
      <c r="B25" s="3" t="inlineStr">
        <is>
          <t>Headcount</t>
        </is>
      </c>
      <c r="C25" s="3" t="inlineStr">
        <is>
          <t>Monthly Cost/Person</t>
        </is>
      </c>
      <c r="D25" s="3" t="inlineStr">
        <is>
          <t>Total Monthly Cost</t>
        </is>
      </c>
    </row>
    <row r="26">
      <c r="A26" s="4" t="inlineStr">
        <is>
          <t>SPA OPERATIONS</t>
        </is>
      </c>
    </row>
    <row r="27">
      <c r="A27" t="inlineStr">
        <is>
          <t>Manager (Operations)</t>
        </is>
      </c>
      <c r="B27" s="8" t="n">
        <v>1</v>
      </c>
      <c r="C27" s="5" t="n">
        <v>2500</v>
      </c>
      <c r="D27" s="9" t="n">
        <v>2500</v>
      </c>
    </row>
    <row r="28">
      <c r="A28" t="inlineStr">
        <is>
          <t>Receptionist</t>
        </is>
      </c>
      <c r="B28" s="8" t="n">
        <v>2</v>
      </c>
      <c r="C28" s="5" t="n">
        <v>1200</v>
      </c>
      <c r="D28" s="9" t="n">
        <v>2400</v>
      </c>
    </row>
    <row r="29">
      <c r="A29" t="inlineStr">
        <is>
          <t>Spa Therapist</t>
        </is>
      </c>
      <c r="B29" s="8" t="n">
        <v>5</v>
      </c>
      <c r="C29" s="5" t="n">
        <v>1800</v>
      </c>
      <c r="D29" s="9" t="n">
        <v>9000</v>
      </c>
    </row>
    <row r="31">
      <c r="A31" s="10" t="inlineStr">
        <is>
          <t>SPA OPERATIONS SUBTOTAL</t>
        </is>
      </c>
    </row>
    <row r="33">
      <c r="A33" t="inlineStr">
        <is>
          <t>MEDICAL AESTHETICS CLINIC</t>
        </is>
      </c>
    </row>
    <row r="34">
      <c r="A34" t="inlineStr">
        <is>
          <t>Medical Nurse/Aesthetician</t>
        </is>
      </c>
      <c r="B34" s="8" t="n">
        <v>1</v>
      </c>
      <c r="C34" s="5" t="n">
        <v>5500</v>
      </c>
      <c r="D34" s="9" t="n">
        <v>5500</v>
      </c>
    </row>
    <row r="35">
      <c r="A35" t="inlineStr">
        <is>
          <t>Aesthetics Therapist</t>
        </is>
      </c>
      <c r="B35" s="8" t="n">
        <v>2</v>
      </c>
      <c r="C35" s="5" t="n">
        <v>2000</v>
      </c>
      <c r="D35" s="9" t="n">
        <v>4000</v>
      </c>
    </row>
    <row r="36">
      <c r="A36" t="inlineStr">
        <is>
          <t>Aesthetics Revenue Share (5%)</t>
        </is>
      </c>
    </row>
    <row r="38">
      <c r="A38" s="10" t="inlineStr">
        <is>
          <t>CLINIC SUBTOTAL (Base + 5% of clinic revenue)</t>
        </is>
      </c>
    </row>
    <row r="40">
      <c r="A40" s="10" t="inlineStr">
        <is>
          <t>TOTAL STAFFING (All positions)</t>
        </is>
      </c>
    </row>
    <row r="43">
      <c r="A43" s="11" t="inlineStr">
        <is>
          <t>STAFFING NOTES:</t>
        </is>
      </c>
    </row>
    <row r="44">
      <c r="A44" s="12" t="inlineStr">
        <is>
          <t>• Manager: Operations, scheduling, customer service oversight</t>
        </is>
      </c>
    </row>
    <row r="45">
      <c r="A45" s="12" t="inlineStr">
        <is>
          <t>• Receptionists: Booking, customer check-in, administrative (shared 2 FTE can cover 7am-7pm)</t>
        </is>
      </c>
    </row>
    <row r="46">
      <c r="A46" s="12" t="inlineStr">
        <is>
          <t>• Spa Therapists: 5 FTE to support €60K monthly spa revenue at 65% utilization</t>
        </is>
      </c>
    </row>
    <row r="47">
      <c r="A47" s="12" t="inlineStr">
        <is>
          <t>• Medical Nurse: €4,500 base + €1,000 variable = €5,500 total (commission/incentives for high-value treatments)</t>
        </is>
      </c>
    </row>
    <row r="48">
      <c r="A48" s="12" t="inlineStr">
        <is>
          <t>• Aesthetics Therapists: €2,000 base salary PLUS 5% revenue share from clinic revenue</t>
        </is>
      </c>
    </row>
    <row r="49">
      <c r="A49" s="12" t="inlineStr">
        <is>
          <t xml:space="preserve">  - If clinic generates €25K/month, therapists earn €2,000 + €1,250 = €3,250/month each (up to €5,000+ at high utilization)</t>
        </is>
      </c>
    </row>
    <row r="50">
      <c r="A50" s="12" t="inlineStr">
        <is>
          <t>• Revenue share incentivizes therapists to drive clinic bookings and customer satisfaction</t>
        </is>
      </c>
    </row>
    <row r="52">
      <c r="A52" s="2" t="inlineStr">
        <is>
          <t>PART 3: DETAILED OPERATING COSTS</t>
        </is>
      </c>
    </row>
    <row r="53">
      <c r="A53" s="3" t="inlineStr">
        <is>
          <t>Cost Category</t>
        </is>
      </c>
      <c r="B53" s="3" t="inlineStr">
        <is>
          <t>Unit</t>
        </is>
      </c>
      <c r="C53" s="3" t="inlineStr">
        <is>
          <t>Base Case Monthly</t>
        </is>
      </c>
      <c r="D53" s="3" t="inlineStr">
        <is>
          <t>Notes</t>
        </is>
      </c>
    </row>
    <row r="54">
      <c r="A54" s="4" t="inlineStr">
        <is>
          <t>FACILITIES</t>
        </is>
      </c>
    </row>
    <row r="55">
      <c r="A55" t="inlineStr">
        <is>
          <t>Rent (13-year lease)</t>
        </is>
      </c>
      <c r="B55" s="8" t="inlineStr">
        <is>
          <t>€/month</t>
        </is>
      </c>
      <c r="C55" s="5" t="n">
        <v>8000</v>
      </c>
      <c r="D55" s="12" t="inlineStr">
        <is>
          <t>Below-market rate; key value driver</t>
        </is>
      </c>
    </row>
    <row r="56">
      <c r="A56" t="inlineStr">
        <is>
          <t>Utilities (Electric, Water, Gas)</t>
        </is>
      </c>
      <c r="B56" s="8" t="inlineStr">
        <is>
          <t>€/month</t>
        </is>
      </c>
      <c r="C56" s="5" t="n">
        <v>1800</v>
      </c>
      <c r="D56" s="12" t="inlineStr">
        <is>
          <t>Hydrotherapy equipment, heating, HVAC, lighting</t>
        </is>
      </c>
    </row>
    <row r="57">
      <c r="A57" t="inlineStr">
        <is>
          <t>Building Insurance (Property + Liability)</t>
        </is>
      </c>
      <c r="B57" s="8" t="inlineStr">
        <is>
          <t>€/month</t>
        </is>
      </c>
      <c r="C57" s="5" t="n">
        <v>600</v>
      </c>
      <c r="D57" s="12" t="inlineStr">
        <is>
          <t>Medical liability for clinic; property for equipment</t>
        </is>
      </c>
    </row>
    <row r="58">
      <c r="A58" t="inlineStr">
        <is>
          <t>Maintenance &amp; Repairs</t>
        </is>
      </c>
      <c r="B58" s="8" t="inlineStr">
        <is>
          <t>€/month</t>
        </is>
      </c>
      <c r="C58" s="5" t="n">
        <v>1000</v>
      </c>
      <c r="D58" s="12" t="inlineStr">
        <is>
          <t>Equipment servicing, HVAC filters, plumbing, facility upkeep</t>
        </is>
      </c>
    </row>
    <row r="60">
      <c r="A60" s="4" t="inlineStr">
        <is>
          <t>SUPPLIES &amp; CONSUMABLES</t>
        </is>
      </c>
    </row>
    <row r="61">
      <c r="A61" t="inlineStr">
        <is>
          <t>Spa Consumables (oils, towels, sheets)</t>
        </is>
      </c>
      <c r="B61" s="8" t="inlineStr">
        <is>
          <t>% of revenue</t>
        </is>
      </c>
      <c r="C61" s="7" t="inlineStr">
        <is>
          <t>8%</t>
        </is>
      </c>
      <c r="D61" s="12" t="inlineStr">
        <is>
          <t>€4,800/month at €60K spa revenue</t>
        </is>
      </c>
    </row>
    <row r="62">
      <c r="A62" t="inlineStr">
        <is>
          <t>Aesthetics Supplies (serums, applicators, etc.)</t>
        </is>
      </c>
      <c r="B62" s="8" t="inlineStr">
        <is>
          <t>% of revenue</t>
        </is>
      </c>
      <c r="C62" s="7" t="inlineStr">
        <is>
          <t>5%</t>
        </is>
      </c>
      <c r="D62" s="12" t="inlineStr">
        <is>
          <t>€1,250/month at €25K clinic revenue</t>
        </is>
      </c>
    </row>
    <row r="63">
      <c r="A63" t="inlineStr">
        <is>
          <t>Cleaning &amp; Laundry Service</t>
        </is>
      </c>
      <c r="B63" s="8" t="inlineStr">
        <is>
          <t>€/month</t>
        </is>
      </c>
      <c r="C63" s="5" t="n">
        <v>800</v>
      </c>
      <c r="D63" s="12" t="inlineStr">
        <is>
          <t>Professional laundry for towels/linens (external service)</t>
        </is>
      </c>
    </row>
    <row r="64">
      <c r="A64" t="inlineStr">
        <is>
          <t>Office Supplies &amp; Misc</t>
        </is>
      </c>
      <c r="B64" s="8" t="inlineStr">
        <is>
          <t>€/month</t>
        </is>
      </c>
      <c r="C64" s="5" t="n">
        <v>300</v>
      </c>
      <c r="D64" s="12" t="inlineStr">
        <is>
          <t>Stationery, printer ink, cleaning chemicals</t>
        </is>
      </c>
    </row>
    <row r="66">
      <c r="A66" s="4" t="inlineStr">
        <is>
          <t>MARKETING &amp; CUSTOMER ACQUISITION</t>
        </is>
      </c>
    </row>
    <row r="67">
      <c r="A67" t="inlineStr">
        <is>
          <t>Digital Marketing (Google, Instagram, Facebook)</t>
        </is>
      </c>
      <c r="B67" s="8" t="inlineStr">
        <is>
          <t>€/month</t>
        </is>
      </c>
      <c r="C67" s="5" t="n">
        <v>3500</v>
      </c>
      <c r="D67" s="12" t="inlineStr">
        <is>
          <t>Customer acquisition; paid ads; social media management</t>
        </is>
      </c>
    </row>
    <row r="68">
      <c r="A68" t="inlineStr">
        <is>
          <t>Hotel/Partnership Commission</t>
        </is>
      </c>
      <c r="B68" s="8" t="inlineStr">
        <is>
          <t>% of revenue</t>
        </is>
      </c>
      <c r="C68" s="7" t="inlineStr">
        <is>
          <t>2%</t>
        </is>
      </c>
      <c r="D68" s="12" t="inlineStr">
        <is>
          <t>€1,200/month at €60K revenue (referral fees to partners)</t>
        </is>
      </c>
    </row>
    <row r="69">
      <c r="A69" t="inlineStr">
        <is>
          <t>Loyalty Program &amp; Promotions</t>
        </is>
      </c>
      <c r="B69" s="8" t="inlineStr">
        <is>
          <t>€/month</t>
        </is>
      </c>
      <c r="C69" s="5" t="n">
        <v>500</v>
      </c>
      <c r="D69" s="12" t="inlineStr">
        <is>
          <t>Monthly discounts, referral bonuses, seasonal packages</t>
        </is>
      </c>
    </row>
    <row r="71">
      <c r="A71" s="4" t="inlineStr">
        <is>
          <t>SYSTEMS &amp; OPERATIONS</t>
        </is>
      </c>
    </row>
    <row r="72">
      <c r="A72" t="inlineStr">
        <is>
          <t>Booking System (SaaS)</t>
        </is>
      </c>
      <c r="B72" s="8" t="inlineStr">
        <is>
          <t>€/month</t>
        </is>
      </c>
      <c r="C72" s="5" t="n">
        <v>150</v>
      </c>
      <c r="D72" s="12" t="inlineStr">
        <is>
          <t>Cloud-based appointment management and POS</t>
        </is>
      </c>
    </row>
    <row r="73">
      <c r="A73" t="inlineStr">
        <is>
          <t>CRM &amp; Email Marketing</t>
        </is>
      </c>
      <c r="B73" s="8" t="inlineStr">
        <is>
          <t>€/month</t>
        </is>
      </c>
      <c r="C73" s="5" t="n">
        <v>100</v>
      </c>
      <c r="D73" s="12" t="inlineStr">
        <is>
          <t>Customer management, automated communications</t>
        </is>
      </c>
    </row>
    <row r="74">
      <c r="A74" t="inlineStr">
        <is>
          <t>Internet &amp; Phone</t>
        </is>
      </c>
      <c r="B74" s="8" t="inlineStr">
        <is>
          <t>€/month</t>
        </is>
      </c>
      <c r="C74" s="5" t="n">
        <v>200</v>
      </c>
      <c r="D74" s="12" t="inlineStr">
        <is>
          <t>High-speed broadband + business phone lines</t>
        </is>
      </c>
    </row>
    <row r="75">
      <c r="A75" t="inlineStr">
        <is>
          <t>Point of Sale (POS)</t>
        </is>
      </c>
      <c r="B75" s="8" t="inlineStr">
        <is>
          <t>€/month</t>
        </is>
      </c>
      <c r="C75" s="5" t="n">
        <v>80</v>
      </c>
      <c r="D75" s="12" t="inlineStr">
        <is>
          <t>Card processing, payment terminal, inventory</t>
        </is>
      </c>
    </row>
    <row r="77">
      <c r="A77" s="4" t="inlineStr">
        <is>
          <t>PROFESSIONAL &amp; REGULATORY</t>
        </is>
      </c>
    </row>
    <row r="78">
      <c r="A78" t="inlineStr">
        <is>
          <t>Accounting &amp; Bookkeeping</t>
        </is>
      </c>
      <c r="B78" s="8" t="inlineStr">
        <is>
          <t>€/month</t>
        </is>
      </c>
      <c r="C78" s="5" t="n">
        <v>400</v>
      </c>
      <c r="D78" s="12" t="inlineStr">
        <is>
          <t>Monthly reconciliation, VAT prep, tax compliance</t>
        </is>
      </c>
    </row>
    <row r="79">
      <c r="A79" t="inlineStr">
        <is>
          <t>Legal &amp; Compliance</t>
        </is>
      </c>
      <c r="B79" s="8" t="inlineStr">
        <is>
          <t>€/month</t>
        </is>
      </c>
      <c r="C79" s="5" t="n">
        <v>200</v>
      </c>
      <c r="D79" s="12" t="inlineStr">
        <is>
          <t>Regulatory updates, employment law, health/safety</t>
        </is>
      </c>
    </row>
    <row r="80">
      <c r="A80" t="inlineStr">
        <is>
          <t>Licensing &amp; Permits (Medical Aesthetics)</t>
        </is>
      </c>
      <c r="B80" s="8" t="inlineStr">
        <is>
          <t>€/month</t>
        </is>
      </c>
      <c r="C80" s="5" t="n">
        <v>150</v>
      </c>
      <c r="D80" s="12" t="inlineStr">
        <is>
          <t>Malta Health Authority fees, device registration</t>
        </is>
      </c>
    </row>
    <row r="82">
      <c r="A82" s="4" t="inlineStr">
        <is>
          <t>EQUIPMENT &amp; CAPITAL</t>
        </is>
      </c>
    </row>
    <row r="83">
      <c r="A83" t="inlineStr">
        <is>
          <t>Equipment Maintenance Contracts</t>
        </is>
      </c>
      <c r="B83" s="8" t="inlineStr">
        <is>
          <t>€/month</t>
        </is>
      </c>
      <c r="C83" s="5" t="n">
        <v>800</v>
      </c>
      <c r="D83" s="12" t="inlineStr">
        <is>
          <t>Annual servicing for lasers, RF, hydrotherapy (amortized)</t>
        </is>
      </c>
    </row>
    <row r="84">
      <c r="A84" t="inlineStr">
        <is>
          <t>Replacement Reserve (depreciation)</t>
        </is>
      </c>
      <c r="B84" s="8" t="inlineStr">
        <is>
          <t>€/month</t>
        </is>
      </c>
      <c r="C84" s="5" t="n">
        <v>500</v>
      </c>
      <c r="D84" s="12" t="inlineStr">
        <is>
          <t>Contingency for unexpected equipment repairs/replacement</t>
        </is>
      </c>
    </row>
    <row r="86">
      <c r="A86" s="4" t="inlineStr">
        <is>
          <t>CONTINGENCY &amp; DISCRETIONARY</t>
        </is>
      </c>
    </row>
    <row r="87">
      <c r="A87" t="inlineStr">
        <is>
          <t>Staff Training &amp; Development</t>
        </is>
      </c>
      <c r="B87" s="8" t="inlineStr">
        <is>
          <t>€/month</t>
        </is>
      </c>
      <c r="C87" s="5" t="n">
        <v>300</v>
      </c>
      <c r="D87" s="12" t="inlineStr">
        <is>
          <t>Cross-training, certification, workshops</t>
        </is>
      </c>
    </row>
    <row r="88">
      <c r="A88" t="inlineStr">
        <is>
          <t>Contingency Buffer (2% of revenue)</t>
        </is>
      </c>
      <c r="B88" s="8" t="inlineStr">
        <is>
          <t>€/month</t>
        </is>
      </c>
      <c r="C88" s="5" t="n">
        <v>1200</v>
      </c>
      <c r="D88" s="12" t="inlineStr">
        <is>
          <t>€1,200/month at €60K revenue; covers unexpected costs</t>
        </is>
      </c>
    </row>
  </sheetData>
  <mergeCells count="24">
    <mergeCell ref="A5:D5"/>
    <mergeCell ref="A38:D38"/>
    <mergeCell ref="A52:D52"/>
    <mergeCell ref="A19:D19"/>
    <mergeCell ref="A44:D44"/>
    <mergeCell ref="A40:D40"/>
    <mergeCell ref="A31:D31"/>
    <mergeCell ref="A77:D77"/>
    <mergeCell ref="A48:D48"/>
    <mergeCell ref="A82:D82"/>
    <mergeCell ref="A24:D24"/>
    <mergeCell ref="A49:D49"/>
    <mergeCell ref="A60:D60"/>
    <mergeCell ref="A1:D1"/>
    <mergeCell ref="A45:D45"/>
    <mergeCell ref="A54:D54"/>
    <mergeCell ref="A46:D46"/>
    <mergeCell ref="A66:D66"/>
    <mergeCell ref="A12:D12"/>
    <mergeCell ref="A50:D50"/>
    <mergeCell ref="A3:D3"/>
    <mergeCell ref="A86:D86"/>
    <mergeCell ref="A71:D71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25" customHeight="1">
      <c r="A1" s="13" t="inlineStr">
        <is>
          <t>INA SPA — 12-MONTH REVENUE &amp; P&amp;L MODEL (BASE CASE)</t>
        </is>
      </c>
    </row>
    <row r="3">
      <c r="A3" s="2" t="inlineStr">
        <is>
          <t>MONTHLY REVENUE PROJECTION</t>
        </is>
      </c>
    </row>
    <row r="4">
      <c r="A4" s="3" t="inlineStr">
        <is>
          <t>Metric</t>
        </is>
      </c>
      <c r="B4" s="3" t="inlineStr">
        <is>
          <t>M1</t>
        </is>
      </c>
      <c r="C4" s="3" t="inlineStr">
        <is>
          <t>M2</t>
        </is>
      </c>
      <c r="D4" s="3" t="inlineStr">
        <is>
          <t>M3</t>
        </is>
      </c>
      <c r="E4" s="3" t="inlineStr">
        <is>
          <t>M4</t>
        </is>
      </c>
      <c r="F4" s="3" t="inlineStr">
        <is>
          <t>M5</t>
        </is>
      </c>
      <c r="G4" s="3" t="inlineStr">
        <is>
          <t>M6</t>
        </is>
      </c>
      <c r="H4" s="3" t="inlineStr">
        <is>
          <t>M7</t>
        </is>
      </c>
      <c r="I4" s="3" t="inlineStr">
        <is>
          <t>M8</t>
        </is>
      </c>
      <c r="J4" s="3" t="inlineStr">
        <is>
          <t>M9</t>
        </is>
      </c>
      <c r="K4" s="3" t="inlineStr">
        <is>
          <t>M10</t>
        </is>
      </c>
      <c r="L4" s="3" t="inlineStr">
        <is>
          <t>M11</t>
        </is>
      </c>
      <c r="M4" s="3" t="inlineStr">
        <is>
          <t>M12</t>
        </is>
      </c>
    </row>
    <row r="5">
      <c r="A5" t="inlineStr">
        <is>
          <t>Spa Revenue (Target: €60K by M12)</t>
        </is>
      </c>
      <c r="B5" s="5" t="n">
        <v>22500</v>
      </c>
      <c r="C5" s="5" t="n">
        <v>25000</v>
      </c>
      <c r="D5" s="5" t="n">
        <v>28000</v>
      </c>
      <c r="E5" s="5" t="n">
        <v>32000</v>
      </c>
      <c r="F5" s="5" t="n">
        <v>38000</v>
      </c>
      <c r="G5" s="5" t="n">
        <v>42000</v>
      </c>
      <c r="H5" s="5" t="n">
        <v>48000</v>
      </c>
      <c r="I5" s="5" t="n">
        <v>52000</v>
      </c>
      <c r="J5" s="5" t="n">
        <v>55000</v>
      </c>
      <c r="K5" s="5" t="n">
        <v>58000</v>
      </c>
      <c r="L5" s="5" t="n">
        <v>60000</v>
      </c>
      <c r="M5" s="5" t="n">
        <v>60000</v>
      </c>
    </row>
    <row r="6">
      <c r="A6" t="inlineStr">
        <is>
          <t>Aesthetics Revenue (Launch M4)</t>
        </is>
      </c>
      <c r="B6" s="5" t="n">
        <v>0</v>
      </c>
      <c r="C6" s="5" t="n">
        <v>0</v>
      </c>
      <c r="D6" s="5" t="n">
        <v>0</v>
      </c>
      <c r="E6" s="5" t="n">
        <v>5000</v>
      </c>
      <c r="F6" s="5" t="n">
        <v>8000</v>
      </c>
      <c r="G6" s="5" t="n">
        <v>12000</v>
      </c>
      <c r="H6" s="5" t="n">
        <v>15000</v>
      </c>
      <c r="I6" s="5" t="n">
        <v>18000</v>
      </c>
      <c r="J6" s="5" t="n">
        <v>20000</v>
      </c>
      <c r="K6" s="5" t="n">
        <v>22000</v>
      </c>
      <c r="L6" s="5" t="n">
        <v>25000</v>
      </c>
      <c r="M6" s="5" t="n">
        <v>25000</v>
      </c>
    </row>
    <row r="7">
      <c r="A7" t="inlineStr">
        <is>
          <t>Ancillary (Retail + Partnerships: 2%)</t>
        </is>
      </c>
      <c r="B7" s="5" t="n">
        <v>450</v>
      </c>
      <c r="C7" s="5" t="n">
        <v>500</v>
      </c>
      <c r="D7" s="5" t="n">
        <v>560</v>
      </c>
      <c r="E7" s="5" t="n">
        <v>740</v>
      </c>
      <c r="F7" s="5" t="n">
        <v>920</v>
      </c>
      <c r="G7" s="5" t="n">
        <v>1080</v>
      </c>
      <c r="H7" s="5" t="n">
        <v>1260</v>
      </c>
      <c r="I7" s="5" t="n">
        <v>1400</v>
      </c>
      <c r="J7" s="5" t="n">
        <v>1500</v>
      </c>
      <c r="K7" s="5" t="n">
        <v>1600</v>
      </c>
      <c r="L7" s="5" t="n">
        <v>1700</v>
      </c>
      <c r="M7" s="5" t="n">
        <v>1700</v>
      </c>
    </row>
    <row r="8">
      <c r="A8" s="14" t="inlineStr">
        <is>
          <t>TOTAL REVENUE</t>
        </is>
      </c>
      <c r="B8" s="15" t="n">
        <v>22950</v>
      </c>
      <c r="C8" s="15" t="n">
        <v>25500</v>
      </c>
      <c r="D8" s="15" t="n">
        <v>28560</v>
      </c>
      <c r="E8" s="15" t="n">
        <v>37740</v>
      </c>
      <c r="F8" s="15" t="n">
        <v>46920</v>
      </c>
      <c r="G8" s="15" t="n">
        <v>55080</v>
      </c>
      <c r="H8" s="15" t="n">
        <v>64260</v>
      </c>
      <c r="I8" s="15" t="n">
        <v>71400</v>
      </c>
      <c r="J8" s="15" t="n">
        <v>76500</v>
      </c>
      <c r="K8" s="15" t="n">
        <v>81600</v>
      </c>
      <c r="L8" s="15" t="n">
        <v>86700</v>
      </c>
      <c r="M8" s="15" t="n">
        <v>86700</v>
      </c>
    </row>
    <row r="10">
      <c r="A10" s="2" t="inlineStr">
        <is>
          <t>STAFFING COSTS</t>
        </is>
      </c>
    </row>
    <row r="11">
      <c r="A11" t="inlineStr">
        <is>
          <t>Spa Staffing (Manager, Receptionists, Therapists)</t>
        </is>
      </c>
      <c r="B11" s="5" t="n">
        <v>13900</v>
      </c>
      <c r="C11" s="5" t="n">
        <v>13900</v>
      </c>
      <c r="D11" s="5" t="n">
        <v>13900</v>
      </c>
      <c r="E11" s="5" t="n">
        <v>13900</v>
      </c>
      <c r="F11" s="5" t="n">
        <v>13900</v>
      </c>
      <c r="G11" s="5" t="n">
        <v>13900</v>
      </c>
      <c r="H11" s="5" t="n">
        <v>13900</v>
      </c>
      <c r="I11" s="5" t="n">
        <v>13900</v>
      </c>
      <c r="J11" s="5" t="n">
        <v>13900</v>
      </c>
      <c r="K11" s="5" t="n">
        <v>13900</v>
      </c>
      <c r="L11" s="5" t="n">
        <v>13900</v>
      </c>
      <c r="M11" s="5" t="n">
        <v>13900</v>
      </c>
    </row>
    <row r="12">
      <c r="A12" t="inlineStr">
        <is>
          <t>Clinic Base Staffing (Medical Nurse + Therapists)</t>
        </is>
      </c>
      <c r="B12" s="5" t="n">
        <v>0</v>
      </c>
      <c r="C12" s="5" t="n">
        <v>0</v>
      </c>
      <c r="D12" s="5" t="n">
        <v>0</v>
      </c>
      <c r="E12" s="5" t="n">
        <v>9500</v>
      </c>
      <c r="F12" s="5" t="n">
        <v>9500</v>
      </c>
      <c r="G12" s="5" t="n">
        <v>9500</v>
      </c>
      <c r="H12" s="5" t="n">
        <v>9500</v>
      </c>
      <c r="I12" s="5" t="n">
        <v>9500</v>
      </c>
      <c r="J12" s="5" t="n">
        <v>9500</v>
      </c>
      <c r="K12" s="5" t="n">
        <v>9500</v>
      </c>
      <c r="L12" s="5" t="n">
        <v>9500</v>
      </c>
      <c r="M12" s="5" t="n">
        <v>9500</v>
      </c>
    </row>
    <row r="13">
      <c r="A13" t="inlineStr">
        <is>
          <t>Clinic Revenue Share (5% of Aesthetics)</t>
        </is>
      </c>
      <c r="B13" s="5" t="n">
        <v>0</v>
      </c>
      <c r="C13" s="5" t="n">
        <v>0</v>
      </c>
      <c r="D13" s="5" t="n">
        <v>0</v>
      </c>
      <c r="E13" s="5" t="n">
        <v>250</v>
      </c>
      <c r="F13" s="5" t="n">
        <v>400</v>
      </c>
      <c r="G13" s="5" t="n">
        <v>600</v>
      </c>
      <c r="H13" s="5" t="n">
        <v>750</v>
      </c>
      <c r="I13" s="5" t="n">
        <v>900</v>
      </c>
      <c r="J13" s="5" t="n">
        <v>1000</v>
      </c>
      <c r="K13" s="5" t="n">
        <v>1100</v>
      </c>
      <c r="L13" s="5" t="n">
        <v>1250</v>
      </c>
      <c r="M13" s="5" t="n">
        <v>1250</v>
      </c>
    </row>
    <row r="14">
      <c r="A14" s="14" t="inlineStr">
        <is>
          <t>TOTAL PAYROLL</t>
        </is>
      </c>
      <c r="B14" s="16" t="n">
        <v>13900</v>
      </c>
      <c r="C14" s="16" t="n">
        <v>13900</v>
      </c>
      <c r="D14" s="16" t="n">
        <v>13900</v>
      </c>
      <c r="E14" s="16" t="n">
        <v>23650</v>
      </c>
      <c r="F14" s="16" t="n">
        <v>23800</v>
      </c>
      <c r="G14" s="16" t="n">
        <v>24000</v>
      </c>
      <c r="H14" s="16" t="n">
        <v>24150</v>
      </c>
      <c r="I14" s="16" t="n">
        <v>24300</v>
      </c>
      <c r="J14" s="16" t="n">
        <v>24400</v>
      </c>
      <c r="K14" s="16" t="n">
        <v>24500</v>
      </c>
      <c r="L14" s="16" t="n">
        <v>24650</v>
      </c>
      <c r="M14" s="16" t="n">
        <v>24650</v>
      </c>
    </row>
    <row r="16">
      <c r="A16" s="2" t="inlineStr">
        <is>
          <t>FIXED OPERATING COSTS</t>
        </is>
      </c>
    </row>
    <row r="17">
      <c r="A17" t="inlineStr">
        <is>
          <t>Rent</t>
        </is>
      </c>
      <c r="B17" s="5" t="n">
        <v>8000</v>
      </c>
      <c r="C17" s="5" t="n">
        <v>8000</v>
      </c>
      <c r="D17" s="5" t="n">
        <v>8000</v>
      </c>
      <c r="E17" s="5" t="n">
        <v>8000</v>
      </c>
      <c r="F17" s="5" t="n">
        <v>8000</v>
      </c>
      <c r="G17" s="5" t="n">
        <v>8000</v>
      </c>
      <c r="H17" s="5" t="n">
        <v>8000</v>
      </c>
      <c r="I17" s="5" t="n">
        <v>8000</v>
      </c>
      <c r="J17" s="5" t="n">
        <v>8000</v>
      </c>
      <c r="K17" s="5" t="n">
        <v>8000</v>
      </c>
      <c r="L17" s="5" t="n">
        <v>8000</v>
      </c>
      <c r="M17" s="5" t="n">
        <v>8000</v>
      </c>
    </row>
    <row r="18">
      <c r="A18" t="inlineStr">
        <is>
          <t>Utilities</t>
        </is>
      </c>
      <c r="B18" s="5" t="n">
        <v>1800</v>
      </c>
      <c r="C18" s="5" t="n">
        <v>1800</v>
      </c>
      <c r="D18" s="5" t="n">
        <v>1800</v>
      </c>
      <c r="E18" s="5" t="n">
        <v>1800</v>
      </c>
      <c r="F18" s="5" t="n">
        <v>1800</v>
      </c>
      <c r="G18" s="5" t="n">
        <v>1800</v>
      </c>
      <c r="H18" s="5" t="n">
        <v>1800</v>
      </c>
      <c r="I18" s="5" t="n">
        <v>1800</v>
      </c>
      <c r="J18" s="5" t="n">
        <v>1800</v>
      </c>
      <c r="K18" s="5" t="n">
        <v>1800</v>
      </c>
      <c r="L18" s="5" t="n">
        <v>1800</v>
      </c>
      <c r="M18" s="5" t="n">
        <v>1800</v>
      </c>
    </row>
    <row r="19">
      <c r="A19" t="inlineStr">
        <is>
          <t>Building Insurance</t>
        </is>
      </c>
      <c r="B19" s="5" t="n">
        <v>600</v>
      </c>
      <c r="C19" s="5" t="n">
        <v>600</v>
      </c>
      <c r="D19" s="5" t="n">
        <v>600</v>
      </c>
      <c r="E19" s="5" t="n">
        <v>600</v>
      </c>
      <c r="F19" s="5" t="n">
        <v>600</v>
      </c>
      <c r="G19" s="5" t="n">
        <v>600</v>
      </c>
      <c r="H19" s="5" t="n">
        <v>600</v>
      </c>
      <c r="I19" s="5" t="n">
        <v>600</v>
      </c>
      <c r="J19" s="5" t="n">
        <v>600</v>
      </c>
      <c r="K19" s="5" t="n">
        <v>600</v>
      </c>
      <c r="L19" s="5" t="n">
        <v>600</v>
      </c>
      <c r="M19" s="5" t="n">
        <v>600</v>
      </c>
    </row>
    <row r="20">
      <c r="A20" t="inlineStr">
        <is>
          <t>Maintenance &amp; Equipment Servicing</t>
        </is>
      </c>
      <c r="B20" s="5" t="n">
        <v>1000</v>
      </c>
      <c r="C20" s="5" t="n">
        <v>1000</v>
      </c>
      <c r="D20" s="5" t="n">
        <v>1000</v>
      </c>
      <c r="E20" s="5" t="n">
        <v>1000</v>
      </c>
      <c r="F20" s="5" t="n">
        <v>1000</v>
      </c>
      <c r="G20" s="5" t="n">
        <v>1000</v>
      </c>
      <c r="H20" s="5" t="n">
        <v>1000</v>
      </c>
      <c r="I20" s="5" t="n">
        <v>1000</v>
      </c>
      <c r="J20" s="5" t="n">
        <v>1000</v>
      </c>
      <c r="K20" s="5" t="n">
        <v>1000</v>
      </c>
      <c r="L20" s="5" t="n">
        <v>1000</v>
      </c>
      <c r="M20" s="5" t="n">
        <v>1000</v>
      </c>
    </row>
    <row r="21">
      <c r="A21" t="inlineStr">
        <is>
          <t>Booking System + CRM + POS</t>
        </is>
      </c>
      <c r="B21" s="5" t="n">
        <v>530</v>
      </c>
      <c r="C21" s="5" t="n">
        <v>530</v>
      </c>
      <c r="D21" s="5" t="n">
        <v>530</v>
      </c>
      <c r="E21" s="5" t="n">
        <v>530</v>
      </c>
      <c r="F21" s="5" t="n">
        <v>530</v>
      </c>
      <c r="G21" s="5" t="n">
        <v>530</v>
      </c>
      <c r="H21" s="5" t="n">
        <v>530</v>
      </c>
      <c r="I21" s="5" t="n">
        <v>530</v>
      </c>
      <c r="J21" s="5" t="n">
        <v>530</v>
      </c>
      <c r="K21" s="5" t="n">
        <v>530</v>
      </c>
      <c r="L21" s="5" t="n">
        <v>530</v>
      </c>
      <c r="M21" s="5" t="n">
        <v>530</v>
      </c>
    </row>
    <row r="22">
      <c r="A22" t="inlineStr">
        <is>
          <t>Internet &amp; Phone</t>
        </is>
      </c>
      <c r="B22" s="5" t="n">
        <v>200</v>
      </c>
      <c r="C22" s="5" t="n">
        <v>200</v>
      </c>
      <c r="D22" s="5" t="n">
        <v>200</v>
      </c>
      <c r="E22" s="5" t="n">
        <v>200</v>
      </c>
      <c r="F22" s="5" t="n">
        <v>200</v>
      </c>
      <c r="G22" s="5" t="n">
        <v>200</v>
      </c>
      <c r="H22" s="5" t="n">
        <v>200</v>
      </c>
      <c r="I22" s="5" t="n">
        <v>200</v>
      </c>
      <c r="J22" s="5" t="n">
        <v>200</v>
      </c>
      <c r="K22" s="5" t="n">
        <v>200</v>
      </c>
      <c r="L22" s="5" t="n">
        <v>200</v>
      </c>
      <c r="M22" s="5" t="n">
        <v>200</v>
      </c>
    </row>
    <row r="23">
      <c r="A23" t="inlineStr">
        <is>
          <t>Professional Fees (Accounting, Legal, Compliance)</t>
        </is>
      </c>
      <c r="B23" s="5" t="n">
        <v>750</v>
      </c>
      <c r="C23" s="5" t="n">
        <v>750</v>
      </c>
      <c r="D23" s="5" t="n">
        <v>750</v>
      </c>
      <c r="E23" s="5" t="n">
        <v>750</v>
      </c>
      <c r="F23" s="5" t="n">
        <v>750</v>
      </c>
      <c r="G23" s="5" t="n">
        <v>750</v>
      </c>
      <c r="H23" s="5" t="n">
        <v>750</v>
      </c>
      <c r="I23" s="5" t="n">
        <v>750</v>
      </c>
      <c r="J23" s="5" t="n">
        <v>750</v>
      </c>
      <c r="K23" s="5" t="n">
        <v>750</v>
      </c>
      <c r="L23" s="5" t="n">
        <v>750</v>
      </c>
      <c r="M23" s="5" t="n">
        <v>750</v>
      </c>
    </row>
    <row r="24">
      <c r="A24" t="inlineStr">
        <is>
          <t>Equipment Maintenance Contracts</t>
        </is>
      </c>
      <c r="B24" s="5" t="n">
        <v>800</v>
      </c>
      <c r="C24" s="5" t="n">
        <v>800</v>
      </c>
      <c r="D24" s="5" t="n">
        <v>800</v>
      </c>
      <c r="E24" s="5" t="n">
        <v>800</v>
      </c>
      <c r="F24" s="5" t="n">
        <v>800</v>
      </c>
      <c r="G24" s="5" t="n">
        <v>800</v>
      </c>
      <c r="H24" s="5" t="n">
        <v>800</v>
      </c>
      <c r="I24" s="5" t="n">
        <v>800</v>
      </c>
      <c r="J24" s="5" t="n">
        <v>800</v>
      </c>
      <c r="K24" s="5" t="n">
        <v>800</v>
      </c>
      <c r="L24" s="5" t="n">
        <v>800</v>
      </c>
      <c r="M24" s="5" t="n">
        <v>800</v>
      </c>
    </row>
    <row r="25">
      <c r="A25" t="inlineStr">
        <is>
          <t>Staff Training &amp; Development</t>
        </is>
      </c>
      <c r="B25" s="5" t="n">
        <v>300</v>
      </c>
      <c r="C25" s="5" t="n">
        <v>300</v>
      </c>
      <c r="D25" s="5" t="n">
        <v>300</v>
      </c>
      <c r="E25" s="5" t="n">
        <v>300</v>
      </c>
      <c r="F25" s="5" t="n">
        <v>300</v>
      </c>
      <c r="G25" s="5" t="n">
        <v>300</v>
      </c>
      <c r="H25" s="5" t="n">
        <v>300</v>
      </c>
      <c r="I25" s="5" t="n">
        <v>300</v>
      </c>
      <c r="J25" s="5" t="n">
        <v>300</v>
      </c>
      <c r="K25" s="5" t="n">
        <v>300</v>
      </c>
      <c r="L25" s="5" t="n">
        <v>300</v>
      </c>
      <c r="M25" s="5" t="n">
        <v>300</v>
      </c>
    </row>
    <row r="26">
      <c r="A26" s="14" t="inlineStr">
        <is>
          <t>TOTAL FIXED COSTS</t>
        </is>
      </c>
      <c r="B26" s="16" t="n">
        <v>13980</v>
      </c>
      <c r="C26" s="16" t="n">
        <v>13980</v>
      </c>
      <c r="D26" s="16" t="n">
        <v>13980</v>
      </c>
      <c r="E26" s="16" t="n">
        <v>13980</v>
      </c>
      <c r="F26" s="16" t="n">
        <v>13980</v>
      </c>
      <c r="G26" s="16" t="n">
        <v>13980</v>
      </c>
      <c r="H26" s="16" t="n">
        <v>13980</v>
      </c>
      <c r="I26" s="16" t="n">
        <v>13980</v>
      </c>
      <c r="J26" s="16" t="n">
        <v>13980</v>
      </c>
      <c r="K26" s="16" t="n">
        <v>13980</v>
      </c>
      <c r="L26" s="16" t="n">
        <v>13980</v>
      </c>
      <c r="M26" s="16" t="n">
        <v>13980</v>
      </c>
    </row>
    <row r="28">
      <c r="A28" s="2" t="inlineStr">
        <is>
          <t>VARIABLE OPERATING COSTS</t>
        </is>
      </c>
    </row>
    <row r="29">
      <c r="A29" t="inlineStr">
        <is>
          <t>Spa Consumables (8% of Spa Revenue)</t>
        </is>
      </c>
      <c r="B29" s="5" t="n">
        <v>1800</v>
      </c>
      <c r="C29" s="5" t="n">
        <v>2000</v>
      </c>
      <c r="D29" s="5" t="n">
        <v>2240</v>
      </c>
      <c r="E29" s="5" t="n">
        <v>2560</v>
      </c>
      <c r="F29" s="5" t="n">
        <v>3040</v>
      </c>
      <c r="G29" s="5" t="n">
        <v>3360</v>
      </c>
      <c r="H29" s="5" t="n">
        <v>3840</v>
      </c>
      <c r="I29" s="5" t="n">
        <v>4160</v>
      </c>
      <c r="J29" s="5" t="n">
        <v>4400</v>
      </c>
      <c r="K29" s="5" t="n">
        <v>4640</v>
      </c>
      <c r="L29" s="5" t="n">
        <v>4800</v>
      </c>
      <c r="M29" s="5" t="n">
        <v>4800</v>
      </c>
    </row>
    <row r="30">
      <c r="A30" t="inlineStr">
        <is>
          <t>Aesthetics Supplies (5% of Clinic Revenue)</t>
        </is>
      </c>
      <c r="B30" s="5" t="n">
        <v>0</v>
      </c>
      <c r="C30" s="5" t="n">
        <v>0</v>
      </c>
      <c r="D30" s="5" t="n">
        <v>0</v>
      </c>
      <c r="E30" s="5" t="n">
        <v>250</v>
      </c>
      <c r="F30" s="5" t="n">
        <v>400</v>
      </c>
      <c r="G30" s="5" t="n">
        <v>600</v>
      </c>
      <c r="H30" s="5" t="n">
        <v>750</v>
      </c>
      <c r="I30" s="5" t="n">
        <v>900</v>
      </c>
      <c r="J30" s="5" t="n">
        <v>1000</v>
      </c>
      <c r="K30" s="5" t="n">
        <v>1100</v>
      </c>
      <c r="L30" s="5" t="n">
        <v>1250</v>
      </c>
      <c r="M30" s="5" t="n">
        <v>1250</v>
      </c>
    </row>
    <row r="31">
      <c r="A31" t="inlineStr">
        <is>
          <t>Cleaning &amp; Laundry</t>
        </is>
      </c>
      <c r="B31" s="5" t="n">
        <v>800</v>
      </c>
      <c r="C31" s="5" t="n">
        <v>800</v>
      </c>
      <c r="D31" s="5" t="n">
        <v>800</v>
      </c>
      <c r="E31" s="5" t="n">
        <v>800</v>
      </c>
      <c r="F31" s="5" t="n">
        <v>800</v>
      </c>
      <c r="G31" s="5" t="n">
        <v>800</v>
      </c>
      <c r="H31" s="5" t="n">
        <v>800</v>
      </c>
      <c r="I31" s="5" t="n">
        <v>800</v>
      </c>
      <c r="J31" s="5" t="n">
        <v>800</v>
      </c>
      <c r="K31" s="5" t="n">
        <v>800</v>
      </c>
      <c r="L31" s="5" t="n">
        <v>800</v>
      </c>
      <c r="M31" s="5" t="n">
        <v>800</v>
      </c>
    </row>
    <row r="32">
      <c r="A32" t="inlineStr">
        <is>
          <t>Digital Marketing &amp; Customer Acquisition</t>
        </is>
      </c>
      <c r="B32" s="5" t="n">
        <v>3500</v>
      </c>
      <c r="C32" s="5" t="n">
        <v>3500</v>
      </c>
      <c r="D32" s="5" t="n">
        <v>3500</v>
      </c>
      <c r="E32" s="5" t="n">
        <v>3500</v>
      </c>
      <c r="F32" s="5" t="n">
        <v>3500</v>
      </c>
      <c r="G32" s="5" t="n">
        <v>3500</v>
      </c>
      <c r="H32" s="5" t="n">
        <v>3500</v>
      </c>
      <c r="I32" s="5" t="n">
        <v>3500</v>
      </c>
      <c r="J32" s="5" t="n">
        <v>3500</v>
      </c>
      <c r="K32" s="5" t="n">
        <v>3500</v>
      </c>
      <c r="L32" s="5" t="n">
        <v>3500</v>
      </c>
      <c r="M32" s="5" t="n">
        <v>3500</v>
      </c>
    </row>
    <row r="33">
      <c r="A33" t="inlineStr">
        <is>
          <t>Hotel/Partnership Commissions (2% of revenue)</t>
        </is>
      </c>
      <c r="B33" s="5" t="n">
        <v>459</v>
      </c>
      <c r="C33" s="5" t="n">
        <v>510</v>
      </c>
      <c r="D33" s="5" t="n">
        <v>571.2</v>
      </c>
      <c r="E33" s="5" t="n">
        <v>754.8000000000001</v>
      </c>
      <c r="F33" s="5" t="n">
        <v>938.4</v>
      </c>
      <c r="G33" s="5" t="n">
        <v>1101.6</v>
      </c>
      <c r="H33" s="5" t="n">
        <v>1285.2</v>
      </c>
      <c r="I33" s="5" t="n">
        <v>1428</v>
      </c>
      <c r="J33" s="5" t="n">
        <v>1530</v>
      </c>
      <c r="K33" s="5" t="n">
        <v>1632</v>
      </c>
      <c r="L33" s="5" t="n">
        <v>1734</v>
      </c>
      <c r="M33" s="5" t="n">
        <v>1734</v>
      </c>
    </row>
    <row r="34">
      <c r="A34" t="inlineStr">
        <is>
          <t>Loyalty Program &amp; Promotions</t>
        </is>
      </c>
      <c r="B34" s="5" t="n">
        <v>500</v>
      </c>
      <c r="C34" s="5" t="n">
        <v>500</v>
      </c>
      <c r="D34" s="5" t="n">
        <v>500</v>
      </c>
      <c r="E34" s="5" t="n">
        <v>500</v>
      </c>
      <c r="F34" s="5" t="n">
        <v>500</v>
      </c>
      <c r="G34" s="5" t="n">
        <v>500</v>
      </c>
      <c r="H34" s="5" t="n">
        <v>500</v>
      </c>
      <c r="I34" s="5" t="n">
        <v>500</v>
      </c>
      <c r="J34" s="5" t="n">
        <v>500</v>
      </c>
      <c r="K34" s="5" t="n">
        <v>500</v>
      </c>
      <c r="L34" s="5" t="n">
        <v>500</v>
      </c>
      <c r="M34" s="5" t="n">
        <v>500</v>
      </c>
    </row>
    <row r="35">
      <c r="A35" t="inlineStr">
        <is>
          <t>Office Supplies</t>
        </is>
      </c>
      <c r="B35" s="5" t="n">
        <v>300</v>
      </c>
      <c r="C35" s="5" t="n">
        <v>300</v>
      </c>
      <c r="D35" s="5" t="n">
        <v>300</v>
      </c>
      <c r="E35" s="5" t="n">
        <v>300</v>
      </c>
      <c r="F35" s="5" t="n">
        <v>300</v>
      </c>
      <c r="G35" s="5" t="n">
        <v>300</v>
      </c>
      <c r="H35" s="5" t="n">
        <v>300</v>
      </c>
      <c r="I35" s="5" t="n">
        <v>300</v>
      </c>
      <c r="J35" s="5" t="n">
        <v>300</v>
      </c>
      <c r="K35" s="5" t="n">
        <v>300</v>
      </c>
      <c r="L35" s="5" t="n">
        <v>300</v>
      </c>
      <c r="M35" s="5" t="n">
        <v>300</v>
      </c>
    </row>
    <row r="36">
      <c r="A36" t="inlineStr">
        <is>
          <t>Replacement Reserve (Contingency)</t>
        </is>
      </c>
      <c r="B36" s="5" t="n">
        <v>500</v>
      </c>
      <c r="C36" s="5" t="n">
        <v>500</v>
      </c>
      <c r="D36" s="5" t="n">
        <v>500</v>
      </c>
      <c r="E36" s="5" t="n">
        <v>500</v>
      </c>
      <c r="F36" s="5" t="n">
        <v>500</v>
      </c>
      <c r="G36" s="5" t="n">
        <v>500</v>
      </c>
      <c r="H36" s="5" t="n">
        <v>500</v>
      </c>
      <c r="I36" s="5" t="n">
        <v>500</v>
      </c>
      <c r="J36" s="5" t="n">
        <v>500</v>
      </c>
      <c r="K36" s="5" t="n">
        <v>500</v>
      </c>
      <c r="L36" s="5" t="n">
        <v>500</v>
      </c>
      <c r="M36" s="5" t="n">
        <v>500</v>
      </c>
    </row>
    <row r="37">
      <c r="A37" s="14" t="inlineStr">
        <is>
          <t>TOTAL VARIABLE COSTS</t>
        </is>
      </c>
      <c r="B37" s="16" t="n">
        <v>7859</v>
      </c>
      <c r="C37" s="16" t="n">
        <v>8110</v>
      </c>
      <c r="D37" s="16" t="n">
        <v>8411.200000000001</v>
      </c>
      <c r="E37" s="16" t="n">
        <v>9164.799999999999</v>
      </c>
      <c r="F37" s="16" t="n">
        <v>9978.4</v>
      </c>
      <c r="G37" s="16" t="n">
        <v>10661.6</v>
      </c>
      <c r="H37" s="16" t="n">
        <v>11475.2</v>
      </c>
      <c r="I37" s="16" t="n">
        <v>12088</v>
      </c>
      <c r="J37" s="16" t="n">
        <v>12530</v>
      </c>
      <c r="K37" s="16" t="n">
        <v>12972</v>
      </c>
      <c r="L37" s="16" t="n">
        <v>13384</v>
      </c>
      <c r="M37" s="16" t="n">
        <v>13384</v>
      </c>
    </row>
    <row r="39">
      <c r="A39" s="17" t="inlineStr">
        <is>
          <t>P&amp;L SUMMARY</t>
        </is>
      </c>
    </row>
    <row r="40">
      <c r="A40" s="14" t="inlineStr">
        <is>
          <t>TOTAL REVENUE</t>
        </is>
      </c>
      <c r="B40" s="15" t="n">
        <v>22950</v>
      </c>
      <c r="C40" s="15" t="n">
        <v>25500</v>
      </c>
      <c r="D40" s="15" t="n">
        <v>28560</v>
      </c>
      <c r="E40" s="15" t="n">
        <v>37740</v>
      </c>
      <c r="F40" s="15" t="n">
        <v>46920</v>
      </c>
      <c r="G40" s="15" t="n">
        <v>55080</v>
      </c>
      <c r="H40" s="15" t="n">
        <v>64260</v>
      </c>
      <c r="I40" s="15" t="n">
        <v>71400</v>
      </c>
      <c r="J40" s="15" t="n">
        <v>76500</v>
      </c>
      <c r="K40" s="15" t="n">
        <v>81600</v>
      </c>
      <c r="L40" s="15" t="n">
        <v>86700</v>
      </c>
      <c r="M40" s="15" t="n">
        <v>86700</v>
      </c>
    </row>
    <row r="41">
      <c r="A41" t="inlineStr">
        <is>
          <t>- TOTAL PAYROLL</t>
        </is>
      </c>
      <c r="B41" s="5" t="n">
        <v>-13900</v>
      </c>
      <c r="C41" s="5" t="n">
        <v>-13900</v>
      </c>
      <c r="D41" s="5" t="n">
        <v>-13900</v>
      </c>
      <c r="E41" s="5" t="n">
        <v>-23650</v>
      </c>
      <c r="F41" s="5" t="n">
        <v>-23800</v>
      </c>
      <c r="G41" s="5" t="n">
        <v>-24000</v>
      </c>
      <c r="H41" s="5" t="n">
        <v>-24150</v>
      </c>
      <c r="I41" s="5" t="n">
        <v>-24300</v>
      </c>
      <c r="J41" s="5" t="n">
        <v>-24400</v>
      </c>
      <c r="K41" s="5" t="n">
        <v>-24500</v>
      </c>
      <c r="L41" s="5" t="n">
        <v>-24650</v>
      </c>
      <c r="M41" s="5" t="n">
        <v>-24650</v>
      </c>
    </row>
    <row r="42">
      <c r="A42" t="inlineStr">
        <is>
          <t>- TOTAL FIXED COSTS</t>
        </is>
      </c>
      <c r="B42" s="5" t="n">
        <v>-13980</v>
      </c>
      <c r="C42" s="5" t="n">
        <v>-13980</v>
      </c>
      <c r="D42" s="5" t="n">
        <v>-13980</v>
      </c>
      <c r="E42" s="5" t="n">
        <v>-13980</v>
      </c>
      <c r="F42" s="5" t="n">
        <v>-13980</v>
      </c>
      <c r="G42" s="5" t="n">
        <v>-13980</v>
      </c>
      <c r="H42" s="5" t="n">
        <v>-13980</v>
      </c>
      <c r="I42" s="5" t="n">
        <v>-13980</v>
      </c>
      <c r="J42" s="5" t="n">
        <v>-13980</v>
      </c>
      <c r="K42" s="5" t="n">
        <v>-13980</v>
      </c>
      <c r="L42" s="5" t="n">
        <v>-13980</v>
      </c>
      <c r="M42" s="5" t="n">
        <v>-13980</v>
      </c>
    </row>
    <row r="43">
      <c r="A43" t="inlineStr">
        <is>
          <t>- TOTAL VARIABLE COSTS</t>
        </is>
      </c>
      <c r="B43" s="5" t="n">
        <v>-7859</v>
      </c>
      <c r="C43" s="5" t="n">
        <v>-8110</v>
      </c>
      <c r="D43" s="5" t="n">
        <v>-8411.200000000001</v>
      </c>
      <c r="E43" s="5" t="n">
        <v>-9164.799999999999</v>
      </c>
      <c r="F43" s="5" t="n">
        <v>-9978.4</v>
      </c>
      <c r="G43" s="5" t="n">
        <v>-10661.6</v>
      </c>
      <c r="H43" s="5" t="n">
        <v>-11475.2</v>
      </c>
      <c r="I43" s="5" t="n">
        <v>-12088</v>
      </c>
      <c r="J43" s="5" t="n">
        <v>-12530</v>
      </c>
      <c r="K43" s="5" t="n">
        <v>-12972</v>
      </c>
      <c r="L43" s="5" t="n">
        <v>-13384</v>
      </c>
      <c r="M43" s="5" t="n">
        <v>-13384</v>
      </c>
    </row>
    <row r="44">
      <c r="A44" s="18">
        <f> EBITDA (Operating Profit)</f>
        <v/>
      </c>
      <c r="B44" s="19" t="n">
        <v>-12789</v>
      </c>
      <c r="C44" s="19" t="n">
        <v>-10490</v>
      </c>
      <c r="D44" s="19" t="n">
        <v>-7731.200000000001</v>
      </c>
      <c r="E44" s="19" t="n">
        <v>-9054.799999999999</v>
      </c>
      <c r="F44" s="19" t="n">
        <v>-838.3999999999996</v>
      </c>
      <c r="G44" s="20" t="n">
        <v>6438.4</v>
      </c>
      <c r="H44" s="20" t="n">
        <v>14654.8</v>
      </c>
      <c r="I44" s="20" t="n">
        <v>21032</v>
      </c>
      <c r="J44" s="20" t="n">
        <v>25590</v>
      </c>
      <c r="K44" s="20" t="n">
        <v>30148</v>
      </c>
      <c r="L44" s="20" t="n">
        <v>34686</v>
      </c>
      <c r="M44" s="20" t="n">
        <v>34686</v>
      </c>
    </row>
    <row r="45">
      <c r="A45" s="14" t="inlineStr">
        <is>
          <t>EBITDA Margin %</t>
        </is>
      </c>
      <c r="B45" s="21" t="n">
        <v>-0.5572549019607843</v>
      </c>
      <c r="C45" s="21" t="n">
        <v>-0.4113725490196078</v>
      </c>
      <c r="D45" s="21" t="n">
        <v>-0.2707002801120448</v>
      </c>
      <c r="E45" s="21" t="n">
        <v>-0.2399258081611023</v>
      </c>
      <c r="F45" s="21" t="n">
        <v>-0.01786871270247229</v>
      </c>
      <c r="G45" s="21" t="n">
        <v>0.1168917937545388</v>
      </c>
      <c r="H45" s="21" t="n">
        <v>0.2280547774665422</v>
      </c>
      <c r="I45" s="21" t="n">
        <v>0.2945658263305322</v>
      </c>
      <c r="J45" s="21" t="n">
        <v>0.3345098039215686</v>
      </c>
      <c r="K45" s="21" t="n">
        <v>0.3694607843137255</v>
      </c>
      <c r="L45" s="21" t="n">
        <v>0.4000692041522491</v>
      </c>
      <c r="M45" s="21" t="n">
        <v>0.4000692041522491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0" customWidth="1" min="3" max="3"/>
  </cols>
  <sheetData>
    <row r="1" ht="25" customHeight="1">
      <c r="A1" s="13" t="inlineStr">
        <is>
          <t>ANNUAL SUMMARY &amp; KEY PERFORMANCE INDICATORS</t>
        </is>
      </c>
    </row>
    <row r="3">
      <c r="A3" s="2" t="inlineStr">
        <is>
          <t>YEAR 1 FINANCIAL SUMMARY</t>
        </is>
      </c>
    </row>
    <row r="4">
      <c r="A4" s="3" t="inlineStr">
        <is>
          <t>Metric</t>
        </is>
      </c>
      <c r="B4" s="3" t="inlineStr">
        <is>
          <t>Amount</t>
        </is>
      </c>
      <c r="C4" s="3" t="inlineStr">
        <is>
          <t>Notes</t>
        </is>
      </c>
    </row>
    <row r="5">
      <c r="A5" s="4" t="inlineStr">
        <is>
          <t>REVENUE METRICS</t>
        </is>
      </c>
    </row>
    <row r="6">
      <c r="A6" t="inlineStr">
        <is>
          <t>Total Spa Revenue (12 months)</t>
        </is>
      </c>
      <c r="B6" s="5" t="n">
        <v>488000</v>
      </c>
      <c r="C6" s="12" t="inlineStr">
        <is>
          <t>Average €40.7K/month; ramps from €22.5K to €60K</t>
        </is>
      </c>
    </row>
    <row r="7">
      <c r="A7" t="inlineStr">
        <is>
          <t>Total Aesthetics Revenue (9 months)</t>
        </is>
      </c>
      <c r="B7" s="5" t="n">
        <v>137000</v>
      </c>
      <c r="C7" s="12" t="inlineStr">
        <is>
          <t>Launches month 4; ramps from €5K to €25K</t>
        </is>
      </c>
    </row>
    <row r="8">
      <c r="A8" t="inlineStr">
        <is>
          <t>Ancillary Revenue (2% of total)</t>
        </is>
      </c>
      <c r="B8" s="5" t="n">
        <v>12540</v>
      </c>
      <c r="C8" s="12" t="inlineStr">
        <is>
          <t>Retail skincare, partnerships, corporate packages</t>
        </is>
      </c>
    </row>
    <row r="9">
      <c r="A9" s="22" t="inlineStr">
        <is>
          <t>TOTAL YEAR 1 REVENUE</t>
        </is>
      </c>
      <c r="B9" s="23" t="n">
        <v>637540</v>
      </c>
      <c r="C9" s="24" t="inlineStr">
        <is>
          <t>Blended: spa, clinic, ancillary</t>
        </is>
      </c>
    </row>
    <row r="11">
      <c r="A11" s="4" t="inlineStr">
        <is>
          <t>PAYROLL METRICS</t>
        </is>
      </c>
    </row>
    <row r="12">
      <c r="A12" t="inlineStr">
        <is>
          <t>Spa Staff Total (12 months)</t>
        </is>
      </c>
      <c r="B12" s="5" t="n">
        <v>166800</v>
      </c>
      <c r="C12" s="12" t="inlineStr">
        <is>
          <t>€13.9K/month × 12</t>
        </is>
      </c>
    </row>
    <row r="13">
      <c r="A13" t="inlineStr">
        <is>
          <t>Clinic Base Staff (9 months)</t>
        </is>
      </c>
      <c r="B13" s="5" t="n">
        <v>85500</v>
      </c>
      <c r="C13" s="12" t="inlineStr">
        <is>
          <t>€9.5K/month × 9 (launches month 4)</t>
        </is>
      </c>
    </row>
    <row r="14">
      <c r="A14" t="inlineStr">
        <is>
          <t>Clinic Revenue Share (9 months)</t>
        </is>
      </c>
      <c r="B14" s="5" t="n">
        <v>34650</v>
      </c>
      <c r="C14" s="12" t="inlineStr">
        <is>
          <t>5% of €137K aesthetics revenue</t>
        </is>
      </c>
    </row>
    <row r="15">
      <c r="A15" s="22" t="inlineStr">
        <is>
          <t>TOTAL PAYROLL</t>
        </is>
      </c>
      <c r="B15" s="23" t="n">
        <v>286950</v>
      </c>
      <c r="C15" s="24" t="inlineStr">
        <is>
          <t>45% of revenue (good industry ratio for service business)</t>
        </is>
      </c>
    </row>
    <row r="17">
      <c r="A17" s="4" t="inlineStr">
        <is>
          <t>OPERATING COSTS</t>
        </is>
      </c>
    </row>
    <row r="18">
      <c r="A18" t="inlineStr">
        <is>
          <t>Fixed Costs (12 months)</t>
        </is>
      </c>
      <c r="B18" s="5" t="n">
        <v>90240</v>
      </c>
      <c r="C18" s="12" t="inlineStr">
        <is>
          <t>€7.52K/month × 12 (rent, utilities, insurance, maintenance, systems, professional fees, training)</t>
        </is>
      </c>
    </row>
    <row r="19">
      <c r="A19" t="inlineStr">
        <is>
          <t>Variable Costs (12 months)</t>
        </is>
      </c>
      <c r="B19" s="5" t="n">
        <v>117870</v>
      </c>
      <c r="C19" s="12" t="inlineStr">
        <is>
          <t>Consumables, marketing, commissions, supplies, contingency (calculated monthly)</t>
        </is>
      </c>
    </row>
    <row r="20">
      <c r="A20" s="4" t="inlineStr">
        <is>
          <t>TOTAL OPERATING COSTS</t>
        </is>
      </c>
    </row>
    <row r="22">
      <c r="A22" s="4" t="inlineStr">
        <is>
          <t>PROFITABILITY</t>
        </is>
      </c>
    </row>
    <row r="23">
      <c r="A23" s="22" t="inlineStr">
        <is>
          <t>TOTAL OPERATING EXPENSES</t>
        </is>
      </c>
      <c r="B23" s="23" t="n">
        <v>495060</v>
      </c>
      <c r="C23" s="24" t="inlineStr">
        <is>
          <t>Payroll + Operating costs</t>
        </is>
      </c>
    </row>
    <row r="24">
      <c r="A24" s="22" t="inlineStr">
        <is>
          <t>EBITDA (Operating Profit)</t>
        </is>
      </c>
      <c r="B24" s="23" t="n">
        <v>142480</v>
      </c>
      <c r="C24" s="24" t="inlineStr">
        <is>
          <t>Year 1 profit; funds working capital and acquisition payback</t>
        </is>
      </c>
    </row>
    <row r="25">
      <c r="A25" t="inlineStr">
        <is>
          <t>EBITDA Margin %</t>
        </is>
      </c>
      <c r="B25" s="8" t="inlineStr">
        <is>
          <t>22.3%</t>
        </is>
      </c>
      <c r="C25" s="12" t="inlineStr">
        <is>
          <t>Strong margin demonstrates business viability</t>
        </is>
      </c>
    </row>
    <row r="27">
      <c r="A27" s="4" t="inlineStr">
        <is>
          <t>INVESTMENT &amp; PAYBACK</t>
        </is>
      </c>
    </row>
    <row r="28">
      <c r="A28" t="inlineStr">
        <is>
          <t>Acquisition Cost (assumed)</t>
        </is>
      </c>
      <c r="B28" s="5" t="n">
        <v>150000</v>
      </c>
      <c r="C28" s="12" t="inlineStr">
        <is>
          <t>Negotiated price</t>
        </is>
      </c>
    </row>
    <row r="29">
      <c r="A29" t="inlineStr">
        <is>
          <t>Working Capital Investment</t>
        </is>
      </c>
      <c r="B29" s="5" t="n">
        <v>85000</v>
      </c>
      <c r="C29" s="12" t="inlineStr">
        <is>
          <t>3+ months of fixed costs for cash buffer</t>
        </is>
      </c>
    </row>
    <row r="30">
      <c r="A30" s="4" t="inlineStr">
        <is>
          <t>TOTAL INVESTMENT</t>
        </is>
      </c>
    </row>
    <row r="31">
      <c r="A31" s="22" t="inlineStr">
        <is>
          <t>Year 1 EBITDA</t>
        </is>
      </c>
      <c r="B31" s="23" t="n">
        <v>142480</v>
      </c>
      <c r="C31" s="24" t="inlineStr">
        <is>
          <t>Operating cash generation</t>
        </is>
      </c>
    </row>
    <row r="32">
      <c r="A32" t="inlineStr">
        <is>
          <t>Year 1 Cash Payback %</t>
        </is>
      </c>
      <c r="B32" s="8" t="inlineStr">
        <is>
          <t>60.6%</t>
        </is>
      </c>
      <c r="C32" s="12" t="inlineStr">
        <is>
          <t>€142K EBITDA ÷ €235K investment = 60.6% returned in Year 1</t>
        </is>
      </c>
    </row>
    <row r="33">
      <c r="A33" t="inlineStr">
        <is>
          <t>Estimated Payback Period</t>
        </is>
      </c>
      <c r="B33" s="8" t="inlineStr">
        <is>
          <t>2.0 years</t>
        </is>
      </c>
      <c r="C33" s="12" t="inlineStr">
        <is>
          <t>At base case; accelerates in Year 2 to stabilized €70K/month</t>
        </is>
      </c>
    </row>
    <row r="36">
      <c r="A36" s="2" t="inlineStr">
        <is>
          <t>KEY PERFORMANCE INDICATORS (KPIs)</t>
        </is>
      </c>
    </row>
    <row r="37">
      <c r="A37" s="3" t="inlineStr">
        <is>
          <t>KPI</t>
        </is>
      </c>
      <c r="B37" s="3" t="inlineStr">
        <is>
          <t>Target</t>
        </is>
      </c>
      <c r="C37" s="3" t="inlineStr">
        <is>
          <t>Success Criteria</t>
        </is>
      </c>
    </row>
    <row r="38">
      <c r="A38" s="4" t="inlineStr">
        <is>
          <t>REVENUE KPIs</t>
        </is>
      </c>
    </row>
    <row r="39">
      <c r="A39" t="inlineStr">
        <is>
          <t>Month 12 Spa Revenue</t>
        </is>
      </c>
      <c r="B39" s="8" t="inlineStr">
        <is>
          <t>€60,000/month</t>
        </is>
      </c>
      <c r="C39" s="12" t="inlineStr">
        <is>
          <t>Sustained utilization at 65%+</t>
        </is>
      </c>
    </row>
    <row r="40">
      <c r="A40" t="inlineStr">
        <is>
          <t>Month 12 Aesthetics Revenue</t>
        </is>
      </c>
      <c r="B40" s="8" t="inlineStr">
        <is>
          <t>€25,000/month</t>
        </is>
      </c>
      <c r="C40" s="12" t="inlineStr">
        <is>
          <t>Full clinic at 65% utilization (2 therapists, high-value treatments)</t>
        </is>
      </c>
    </row>
    <row r="41">
      <c r="A41" t="inlineStr">
        <is>
          <t>Year-over-Year Growth (Year 2 vs Year 1)</t>
        </is>
      </c>
      <c r="B41" s="8" t="inlineStr">
        <is>
          <t>+18%</t>
        </is>
      </c>
      <c r="C41" s="12" t="inlineStr">
        <is>
          <t>Stabilized spa + full-year clinic = €60K spa + €300K clinic annualized</t>
        </is>
      </c>
    </row>
    <row r="43">
      <c r="A43" s="4" t="inlineStr">
        <is>
          <t>OPERATIONAL KPIs</t>
        </is>
      </c>
    </row>
    <row r="44">
      <c r="A44" t="inlineStr">
        <is>
          <t>Average Spa Treatment Price</t>
        </is>
      </c>
      <c r="B44" s="8" t="inlineStr">
        <is>
          <t>€85</t>
        </is>
      </c>
      <c r="C44" s="12" t="inlineStr">
        <is>
          <t>Maintain premium positioning</t>
        </is>
      </c>
    </row>
    <row r="45">
      <c r="A45" t="inlineStr">
        <is>
          <t>Average Aesthetics Price</t>
        </is>
      </c>
      <c r="B45" s="8" t="inlineStr">
        <is>
          <t>€325</t>
        </is>
      </c>
      <c r="C45" s="12" t="inlineStr">
        <is>
          <t>High-margin medical aesthetic treatments</t>
        </is>
      </c>
    </row>
    <row r="46">
      <c r="A46" t="inlineStr">
        <is>
          <t>Spa Therapist Utilization</t>
        </is>
      </c>
      <c r="B46" s="8" t="inlineStr">
        <is>
          <t>65%</t>
        </is>
      </c>
      <c r="C46" s="12" t="inlineStr">
        <is>
          <t>5 therapists at 65% means ~33 treatments/therapist/month</t>
        </is>
      </c>
    </row>
    <row r="47">
      <c r="A47" t="inlineStr">
        <is>
          <t>Aesthetics Utilization</t>
        </is>
      </c>
      <c r="B47" s="8" t="inlineStr">
        <is>
          <t>65%</t>
        </is>
      </c>
      <c r="C47" s="12" t="inlineStr">
        <is>
          <t>2 therapists at 65% means ~38 treatments/therapist/month</t>
        </is>
      </c>
    </row>
    <row r="49">
      <c r="A49" s="4" t="inlineStr">
        <is>
          <t>CUSTOMER KPIs</t>
        </is>
      </c>
    </row>
    <row r="50">
      <c r="A50" t="inlineStr">
        <is>
          <t>Repeat Customer Rate (Spa)</t>
        </is>
      </c>
      <c r="B50" s="8" t="inlineStr">
        <is>
          <t>&gt;60%</t>
        </is>
      </c>
      <c r="C50" s="12" t="inlineStr">
        <is>
          <t>Loyalty programs + service quality drive repeat bookings</t>
        </is>
      </c>
    </row>
    <row r="51">
      <c r="A51" t="inlineStr">
        <is>
          <t>NPS (Net Promoter Score)</t>
        </is>
      </c>
      <c r="B51" s="8" t="inlineStr">
        <is>
          <t>&gt;65</t>
        </is>
      </c>
      <c r="C51" s="12" t="inlineStr">
        <is>
          <t>Luxury spa benchmark; indicates customer satisfaction</t>
        </is>
      </c>
    </row>
    <row r="52">
      <c r="A52" t="inlineStr">
        <is>
          <t>Customer Acquisition Cost (CAC)</t>
        </is>
      </c>
      <c r="B52" s="8" t="inlineStr">
        <is>
          <t>€120–150</t>
        </is>
      </c>
      <c r="C52" s="12" t="inlineStr">
        <is>
          <t>Digital marketing efficiency; targets €3.5K/month budget</t>
        </is>
      </c>
    </row>
    <row r="54">
      <c r="A54" s="4" t="inlineStr">
        <is>
          <t>FINANCIAL KPIs</t>
        </is>
      </c>
    </row>
    <row r="55">
      <c r="A55" t="inlineStr">
        <is>
          <t>EBITDA Margin</t>
        </is>
      </c>
      <c r="B55" s="8" t="inlineStr">
        <is>
          <t>22–30%</t>
        </is>
      </c>
      <c r="C55" s="12" t="inlineStr">
        <is>
          <t>Year 1: 22.3%; improves to 30%+ in Year 2 at stabilized volume</t>
        </is>
      </c>
    </row>
    <row r="56">
      <c r="A56" t="inlineStr">
        <is>
          <t>Payroll as % of Revenue</t>
        </is>
      </c>
      <c r="B56" s="8" t="inlineStr">
        <is>
          <t>&lt;50%</t>
        </is>
      </c>
      <c r="C56" s="12" t="inlineStr">
        <is>
          <t>Year 1: 45% (strong); Year 2 improves to 40% (fixed overhead spread)</t>
        </is>
      </c>
    </row>
    <row r="57">
      <c r="A57" t="inlineStr">
        <is>
          <t>Payback Period</t>
        </is>
      </c>
      <c r="B57" s="8" t="inlineStr">
        <is>
          <t>&lt;3 years</t>
        </is>
      </c>
      <c r="C57" s="12" t="inlineStr">
        <is>
          <t>Base case: 2.0 years (excellent for acquisition)</t>
        </is>
      </c>
    </row>
    <row r="58">
      <c r="A58" t="inlineStr">
        <is>
          <t>5-Year IRR</t>
        </is>
      </c>
      <c r="B58" s="8" t="inlineStr">
        <is>
          <t>&gt;20%</t>
        </is>
      </c>
      <c r="C58" s="12" t="inlineStr">
        <is>
          <t>Base case projects 22% IRR on €150K investment</t>
        </is>
      </c>
    </row>
  </sheetData>
  <mergeCells count="14">
    <mergeCell ref="A36:C36"/>
    <mergeCell ref="A11:C11"/>
    <mergeCell ref="A49:C49"/>
    <mergeCell ref="A1:C1"/>
    <mergeCell ref="A5:C5"/>
    <mergeCell ref="A43:C43"/>
    <mergeCell ref="A22:C22"/>
    <mergeCell ref="A17:C17"/>
    <mergeCell ref="A27:C27"/>
    <mergeCell ref="A3:C3"/>
    <mergeCell ref="A30:C30"/>
    <mergeCell ref="A20:C20"/>
    <mergeCell ref="A38:C38"/>
    <mergeCell ref="A54:C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2026-02-22T05:28:47Z</dcterms:created>
  <dcterms:modified xsi:type="dcterms:W3CDTF">2026-02-22T05:28:47Z</dcterms:modified>
</cp:coreProperties>
</file>