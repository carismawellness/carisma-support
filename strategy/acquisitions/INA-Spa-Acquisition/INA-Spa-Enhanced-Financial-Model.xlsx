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5-Year DCF Valuation" sheetId="2" state="visible" r:id="rId2"/>
    <sheet name="Sensitivity Analysis" sheetId="3" state="visible" r:id="rId3"/>
    <sheet name="Risk Assessment" sheetId="4" state="visible" r:id="rId4"/>
    <sheet name="Operational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.00"/>
    <numFmt numFmtId="165" formatCode="0.0"/>
    <numFmt numFmtId="166" formatCode="0.0%"/>
    <numFmt numFmtId="167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5" borderId="0" pivotButton="0" quotePrefix="0" xfId="0"/>
    <xf numFmtId="0" fontId="4" fillId="2" borderId="0" pivotButton="0" quotePrefix="0" xfId="0"/>
    <xf numFmtId="0" fontId="2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167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166" fontId="0" fillId="6" borderId="0" applyAlignment="1" pivotButton="0" quotePrefix="0" xfId="0">
      <alignment horizontal="center" vertical="center" wrapText="1"/>
    </xf>
    <xf numFmtId="166" fontId="0" fillId="4" borderId="0" applyAlignment="1" pivotButton="0" quotePrefix="0" xfId="0">
      <alignment horizontal="center" vertical="center" wrapText="1"/>
    </xf>
    <xf numFmtId="166" fontId="0" fillId="7" borderId="0" applyAlignment="1" pivotButton="0" quotePrefix="0" xfId="0">
      <alignment horizontal="center" vertical="center" wrapText="1"/>
    </xf>
    <xf numFmtId="166" fontId="0" fillId="8" borderId="0" applyAlignment="1" pivotButton="0" quotePrefix="0" xfId="0">
      <alignment horizontal="center" vertical="center" wrapText="1"/>
    </xf>
    <xf numFmtId="164" fontId="0" fillId="8" borderId="0" pivotButton="0" quotePrefix="0" xfId="0"/>
    <xf numFmtId="165" fontId="0" fillId="6" borderId="0" applyAlignment="1" pivotButton="0" quotePrefix="0" xfId="0">
      <alignment horizontal="center" vertical="center" wrapText="1"/>
    </xf>
    <xf numFmtId="165" fontId="0" fillId="4" borderId="0" applyAlignment="1" pivotButton="0" quotePrefix="0" xfId="0">
      <alignment horizontal="center" vertical="center" wrapText="1"/>
    </xf>
    <xf numFmtId="165" fontId="0" fillId="8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164" fontId="0" fillId="8" borderId="0" applyAlignment="1" pivotButton="0" quotePrefix="0" xfId="0">
      <alignment horizontal="center" vertical="center" wrapText="1"/>
    </xf>
    <xf numFmtId="164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 ht="25" customHeight="1">
      <c r="A1" s="1" t="inlineStr">
        <is>
          <t>INA SPA MALTA ACQUISITION — EXECUTIVE SUMMARY</t>
        </is>
      </c>
    </row>
    <row r="3">
      <c r="A3" s="2" t="inlineStr">
        <is>
          <t>INVESTMENT OVERVIEW</t>
        </is>
      </c>
    </row>
    <row r="4">
      <c r="A4" s="3" t="inlineStr">
        <is>
          <t>Metric</t>
        </is>
      </c>
      <c r="B4" s="3" t="inlineStr">
        <is>
          <t>Conservative</t>
        </is>
      </c>
      <c r="C4" s="3" t="inlineStr">
        <is>
          <t>Base Case</t>
        </is>
      </c>
      <c r="D4" s="3" t="inlineStr">
        <is>
          <t>Optimistic</t>
        </is>
      </c>
    </row>
    <row r="5">
      <c r="A5" t="inlineStr">
        <is>
          <t>Current Monthly Revenue</t>
        </is>
      </c>
      <c r="B5" s="4" t="n">
        <v>22500</v>
      </c>
      <c r="C5" s="4" t="n">
        <v>22500</v>
      </c>
      <c r="D5" s="4" t="n">
        <v>22500</v>
      </c>
    </row>
    <row r="6">
      <c r="A6" t="inlineStr">
        <is>
          <t>Year 2 Stabilized Revenue</t>
        </is>
      </c>
      <c r="B6" s="4" t="n">
        <v>50000</v>
      </c>
      <c r="C6" s="4" t="n">
        <v>70000</v>
      </c>
      <c r="D6" s="4" t="n">
        <v>90000</v>
      </c>
    </row>
    <row r="7">
      <c r="A7" t="inlineStr">
        <is>
          <t>Revenue Growth (2x multiple)</t>
        </is>
      </c>
      <c r="B7" s="4" t="n">
        <v>2.2</v>
      </c>
      <c r="C7" s="4" t="n">
        <v>3.1</v>
      </c>
      <c r="D7" s="4" t="n">
        <v>4</v>
      </c>
    </row>
    <row r="9">
      <c r="A9" t="inlineStr">
        <is>
          <t>Acquisition Price (Recommended)</t>
        </is>
      </c>
      <c r="B9" s="4" t="n">
        <v>100000</v>
      </c>
      <c r="C9" s="5" t="n">
        <v>150000</v>
      </c>
      <c r="D9" s="5" t="n">
        <v>200000</v>
      </c>
    </row>
    <row r="10">
      <c r="A10" t="inlineStr">
        <is>
          <t>Working Capital Required</t>
        </is>
      </c>
      <c r="B10" s="4" t="n">
        <v>85000</v>
      </c>
      <c r="C10" s="4" t="n">
        <v>85000</v>
      </c>
      <c r="D10" s="4" t="n">
        <v>85000</v>
      </c>
    </row>
    <row r="11">
      <c r="A11" t="inlineStr">
        <is>
          <t>Total Investment</t>
        </is>
      </c>
      <c r="B11" s="5" t="n">
        <v>185000</v>
      </c>
      <c r="C11" s="5" t="n">
        <v>235000</v>
      </c>
      <c r="D11" s="5" t="n">
        <v>285000</v>
      </c>
    </row>
    <row r="13">
      <c r="A13" t="inlineStr">
        <is>
          <t>Year 2 EBITDA (Stabilized)</t>
        </is>
      </c>
      <c r="B13" s="4" t="n">
        <v>60300</v>
      </c>
      <c r="C13" s="5" t="n">
        <v>296400</v>
      </c>
      <c r="D13" s="5" t="n">
        <v>648600</v>
      </c>
    </row>
    <row r="14">
      <c r="A14" t="inlineStr">
        <is>
          <t>Year 2 EBITDA Margin</t>
        </is>
      </c>
      <c r="B14" s="6" t="inlineStr">
        <is>
          <t>28%</t>
        </is>
      </c>
      <c r="C14" s="6" t="inlineStr">
        <is>
          <t>36%</t>
        </is>
      </c>
      <c r="D14" s="6" t="inlineStr">
        <is>
          <t>42%</t>
        </is>
      </c>
    </row>
    <row r="15">
      <c r="A15" t="inlineStr">
        <is>
          <t>5-Year Cumulative EBITDA</t>
        </is>
      </c>
      <c r="B15" s="5" t="n">
        <v>240000</v>
      </c>
      <c r="C15" s="5" t="n">
        <v>1500000</v>
      </c>
      <c r="D15" s="5" t="n">
        <v>2200000</v>
      </c>
    </row>
    <row r="17">
      <c r="A17" t="inlineStr">
        <is>
          <t>3-Year Payback</t>
        </is>
      </c>
      <c r="B17" s="7" t="n">
        <v>3.8</v>
      </c>
      <c r="C17" s="7" t="n">
        <v>2.8</v>
      </c>
      <c r="D17" s="7" t="n">
        <v>1.9</v>
      </c>
    </row>
    <row r="18">
      <c r="A18" t="inlineStr">
        <is>
          <t>5-Year IRR</t>
        </is>
      </c>
      <c r="B18" s="6" t="inlineStr">
        <is>
          <t>5%</t>
        </is>
      </c>
      <c r="C18" s="6" t="inlineStr">
        <is>
          <t>22%</t>
        </is>
      </c>
      <c r="D18" s="6" t="inlineStr">
        <is>
          <t>35%</t>
        </is>
      </c>
    </row>
    <row r="19">
      <c r="A19" t="inlineStr">
        <is>
          <t>NPV @ 12% Discount (5yr)</t>
        </is>
      </c>
      <c r="B19" s="4" t="n">
        <v>85000</v>
      </c>
      <c r="C19" s="5" t="n">
        <v>320000</v>
      </c>
      <c r="D19" s="5" t="n">
        <v>680000</v>
      </c>
    </row>
    <row r="22">
      <c r="A22" s="2" t="inlineStr">
        <is>
          <t>CRITICAL SUCCESS FACTORS</t>
        </is>
      </c>
    </row>
    <row r="23">
      <c r="A23" s="8" t="inlineStr">
        <is>
          <t>✓ Market research validates €70-90K revenue achievable</t>
        </is>
      </c>
    </row>
    <row r="24">
      <c r="A24" s="8" t="inlineStr">
        <is>
          <t>✓ Monthly rent confirmed ≤€8,000</t>
        </is>
      </c>
    </row>
    <row r="25">
      <c r="A25" s="8" t="inlineStr">
        <is>
          <t>✓ Landlord written consent to assignment obtained</t>
        </is>
      </c>
    </row>
    <row r="26">
      <c r="A26" s="8" t="inlineStr">
        <is>
          <t>✓ Equipment appraisal confirms ≥€200K moveable value</t>
        </is>
      </c>
    </row>
    <row r="27">
      <c r="A27" s="8" t="inlineStr">
        <is>
          <t>✓ Key therapists (2+ of 3) sign 18-month contracts</t>
        </is>
      </c>
    </row>
    <row r="28">
      <c r="A28" s="8" t="inlineStr">
        <is>
          <t>✓ Acquisition price negotiated to €100-175K</t>
        </is>
      </c>
    </row>
    <row r="30" ht="20" customHeight="1">
      <c r="A30" s="9" t="inlineStr">
        <is>
          <t>INVESTMENT DECISION</t>
        </is>
      </c>
    </row>
    <row r="31" ht="30" customHeight="1">
      <c r="A31" s="8" t="inlineStr">
        <is>
          <t>CONDITIONAL APPROVAL — Proceed if ≥5 of 6 critical factors are met. Base Case (€70K revenue target) achieves 22% IRR and 2.8-year payback at €150K acquisition price.</t>
        </is>
      </c>
    </row>
  </sheetData>
  <mergeCells count="11">
    <mergeCell ref="A25:C25"/>
    <mergeCell ref="A28:C28"/>
    <mergeCell ref="A1:C1"/>
    <mergeCell ref="A23:C23"/>
    <mergeCell ref="A31:C31"/>
    <mergeCell ref="A22:C22"/>
    <mergeCell ref="A27:C27"/>
    <mergeCell ref="A3:C3"/>
    <mergeCell ref="A30:C30"/>
    <mergeCell ref="A26:C26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0" t="inlineStr">
        <is>
          <t>DISCOUNTED CASH FLOW (DCF) VALUATION — BASE CASE</t>
        </is>
      </c>
    </row>
    <row r="3">
      <c r="A3" s="11" t="inlineStr">
        <is>
          <t>Key Assumptions:</t>
        </is>
      </c>
    </row>
    <row r="4">
      <c r="A4" t="inlineStr">
        <is>
          <t>Discount Rate (WACC)</t>
        </is>
      </c>
      <c r="B4" s="12" t="n">
        <v>0.12</v>
      </c>
    </row>
    <row r="5">
      <c r="A5" t="inlineStr">
        <is>
          <t>Terminal Revenue Multiple</t>
        </is>
      </c>
      <c r="B5" s="13" t="n">
        <v>2.5</v>
      </c>
    </row>
    <row r="6">
      <c r="A6" t="inlineStr">
        <is>
          <t>Terminal EBITDA Margin</t>
        </is>
      </c>
      <c r="B6" s="12" t="n">
        <v>0.35</v>
      </c>
    </row>
    <row r="7">
      <c r="A7" t="inlineStr">
        <is>
          <t>Tax Rate</t>
        </is>
      </c>
      <c r="B7" s="12" t="n">
        <v>0.35</v>
      </c>
    </row>
    <row r="8">
      <c r="A8" t="inlineStr">
        <is>
          <t>Target Stabilized Revenue</t>
        </is>
      </c>
      <c r="B8" s="13" t="n">
        <v>70000</v>
      </c>
    </row>
    <row r="10">
      <c r="A10" s="2" t="inlineStr">
        <is>
          <t>YEAR 1-5 CASH FLOW PROJECTION</t>
        </is>
      </c>
    </row>
    <row r="11">
      <c r="A11" s="3" t="inlineStr">
        <is>
          <t>Metric</t>
        </is>
      </c>
      <c r="B11" s="3" t="inlineStr">
        <is>
          <t>Year 1</t>
        </is>
      </c>
      <c r="C11" s="3" t="inlineStr">
        <is>
          <t>Year 2</t>
        </is>
      </c>
      <c r="D11" s="3" t="inlineStr">
        <is>
          <t>Year 3</t>
        </is>
      </c>
      <c r="E11" s="3" t="inlineStr">
        <is>
          <t>Year 4</t>
        </is>
      </c>
      <c r="F11" s="3" t="inlineStr">
        <is>
          <t>Year 5</t>
        </is>
      </c>
    </row>
    <row r="12">
      <c r="A12" t="inlineStr">
        <is>
          <t>Revenue</t>
        </is>
      </c>
      <c r="B12" s="13" t="n">
        <v>420000</v>
      </c>
      <c r="C12" s="13" t="n">
        <v>840000</v>
      </c>
      <c r="D12" s="13" t="n">
        <v>840000</v>
      </c>
      <c r="E12" s="13" t="n">
        <v>840000</v>
      </c>
      <c r="F12" s="13" t="n">
        <v>840000</v>
      </c>
    </row>
    <row r="13">
      <c r="A13" t="inlineStr">
        <is>
          <t>Fixed Costs</t>
        </is>
      </c>
      <c r="B13" s="13" t="n">
        <v>-208800</v>
      </c>
      <c r="C13" s="13" t="n">
        <v>-208800</v>
      </c>
      <c r="D13" s="13" t="n">
        <v>-208800</v>
      </c>
      <c r="E13" s="13" t="n">
        <v>-208800</v>
      </c>
      <c r="F13" s="13" t="n">
        <v>-208800</v>
      </c>
    </row>
    <row r="14">
      <c r="A14" t="inlineStr">
        <is>
          <t>Variable Costs (15% of revenue)</t>
        </is>
      </c>
      <c r="B14" s="13" t="n">
        <v>-63000</v>
      </c>
      <c r="C14" s="13" t="n">
        <v>-126000</v>
      </c>
      <c r="D14" s="13" t="n">
        <v>-126000</v>
      </c>
      <c r="E14" s="13" t="n">
        <v>-126000</v>
      </c>
      <c r="F14" s="13" t="n">
        <v>-126000</v>
      </c>
    </row>
    <row r="15">
      <c r="A15" s="14" t="inlineStr">
        <is>
          <t>EBITDA</t>
        </is>
      </c>
      <c r="B15" s="15" t="n">
        <v>148200</v>
      </c>
      <c r="C15" s="15" t="n">
        <v>505200</v>
      </c>
      <c r="D15" s="15" t="n">
        <v>505200</v>
      </c>
      <c r="E15" s="15" t="n">
        <v>505200</v>
      </c>
      <c r="F15" s="15" t="n">
        <v>505200</v>
      </c>
    </row>
    <row r="16">
      <c r="A16" t="inlineStr">
        <is>
          <t>Depreciation</t>
        </is>
      </c>
      <c r="B16" s="13" t="n">
        <v>-50000</v>
      </c>
      <c r="C16" s="13" t="n">
        <v>-50000</v>
      </c>
      <c r="D16" s="13" t="n">
        <v>-50000</v>
      </c>
      <c r="E16" s="13" t="n">
        <v>-50000</v>
      </c>
      <c r="F16" s="13" t="n">
        <v>-50000</v>
      </c>
    </row>
    <row r="17">
      <c r="A17" t="inlineStr">
        <is>
          <t>EBIT</t>
        </is>
      </c>
      <c r="B17" s="13" t="n">
        <v>98200</v>
      </c>
      <c r="C17" s="13" t="n">
        <v>455200</v>
      </c>
      <c r="D17" s="13" t="n">
        <v>455200</v>
      </c>
      <c r="E17" s="13" t="n">
        <v>455200</v>
      </c>
      <c r="F17" s="13" t="n">
        <v>455200</v>
      </c>
    </row>
    <row r="18">
      <c r="A18" t="inlineStr">
        <is>
          <t>Tax (35%)</t>
        </is>
      </c>
      <c r="B18" s="13" t="n">
        <v>-34370</v>
      </c>
      <c r="C18" s="13" t="n">
        <v>-159320</v>
      </c>
      <c r="D18" s="13" t="n">
        <v>-159320</v>
      </c>
      <c r="E18" s="13" t="n">
        <v>-159320</v>
      </c>
      <c r="F18" s="13" t="n">
        <v>-159320</v>
      </c>
    </row>
    <row r="19">
      <c r="A19" s="14" t="inlineStr">
        <is>
          <t>NOPAT (after-tax EBIT)</t>
        </is>
      </c>
      <c r="B19" s="15" t="n">
        <v>63830</v>
      </c>
      <c r="C19" s="15" t="n">
        <v>295880</v>
      </c>
      <c r="D19" s="15" t="n">
        <v>295880</v>
      </c>
      <c r="E19" s="15" t="n">
        <v>295880</v>
      </c>
      <c r="F19" s="15" t="n">
        <v>295880</v>
      </c>
    </row>
    <row r="20">
      <c r="A20" t="inlineStr">
        <is>
          <t>+ Depreciation (non-cash)</t>
        </is>
      </c>
      <c r="B20" s="13" t="n">
        <v>50000</v>
      </c>
      <c r="C20" s="13" t="n">
        <v>50000</v>
      </c>
      <c r="D20" s="13" t="n">
        <v>50000</v>
      </c>
      <c r="E20" s="13" t="n">
        <v>50000</v>
      </c>
      <c r="F20" s="13" t="n">
        <v>50000</v>
      </c>
    </row>
    <row r="21">
      <c r="A21" t="inlineStr">
        <is>
          <t>- Capex</t>
        </is>
      </c>
      <c r="B21" s="13" t="n">
        <v>0</v>
      </c>
      <c r="C21" s="13" t="n">
        <v>-50000</v>
      </c>
      <c r="D21" s="13" t="n">
        <v>-30000</v>
      </c>
      <c r="E21" s="13" t="n">
        <v>-20000</v>
      </c>
      <c r="F21" s="13" t="n">
        <v>-20000</v>
      </c>
    </row>
    <row r="22">
      <c r="A22" s="16" t="inlineStr">
        <is>
          <t>FREE CASH FLOW</t>
        </is>
      </c>
      <c r="B22" s="17" t="n">
        <v>-48200</v>
      </c>
      <c r="C22" s="17" t="n">
        <v>-405200</v>
      </c>
      <c r="D22" s="17" t="n">
        <v>-405200</v>
      </c>
      <c r="E22" s="17" t="n">
        <v>-405200</v>
      </c>
      <c r="F22" s="17" t="n">
        <v>-405200</v>
      </c>
    </row>
    <row r="24">
      <c r="A24" t="inlineStr">
        <is>
          <t>Discount Factor (12% WACC)</t>
        </is>
      </c>
      <c r="B24" s="18" t="n">
        <v>0.8928571428571428</v>
      </c>
      <c r="C24" s="18" t="n">
        <v>0.7971938775510203</v>
      </c>
      <c r="D24" s="18" t="n">
        <v>0.7117802478134109</v>
      </c>
      <c r="E24" s="18" t="n">
        <v>0.6355180784048311</v>
      </c>
      <c r="F24" s="18" t="n">
        <v>0.5674268557185992</v>
      </c>
    </row>
    <row r="25">
      <c r="A25" t="inlineStr">
        <is>
          <t>PV of FCF</t>
        </is>
      </c>
      <c r="B25" s="13" t="n">
        <v>-43035.71428571428</v>
      </c>
      <c r="C25" s="13" t="n">
        <v>-323022.9591836734</v>
      </c>
      <c r="D25" s="13" t="n">
        <v>-288413.3564139941</v>
      </c>
      <c r="E25" s="13" t="n">
        <v>-257511.9253696376</v>
      </c>
      <c r="F25" s="13" t="n">
        <v>-229921.3619371764</v>
      </c>
    </row>
    <row r="27">
      <c r="A27" s="2" t="inlineStr">
        <is>
          <t>TERMINAL VALUE CALCULATION</t>
        </is>
      </c>
    </row>
    <row r="28">
      <c r="A28" t="inlineStr">
        <is>
          <t>Year 5 EBITDA</t>
        </is>
      </c>
      <c r="B28" s="13" t="n">
        <v>505200</v>
      </c>
    </row>
    <row r="29">
      <c r="A29" t="inlineStr">
        <is>
          <t>Terminal EBITDA Multiple</t>
        </is>
      </c>
      <c r="B29" s="19" t="n">
        <v>2.5</v>
      </c>
    </row>
    <row r="30">
      <c r="A30" s="14" t="inlineStr">
        <is>
          <t>Terminal Value</t>
        </is>
      </c>
      <c r="B30" s="15" t="n">
        <v>1263000</v>
      </c>
    </row>
    <row r="31">
      <c r="A31" t="inlineStr">
        <is>
          <t>PV of Terminal Value (Discount Year 5)</t>
        </is>
      </c>
      <c r="B31" s="13" t="n">
        <v>716660.1187725908</v>
      </c>
    </row>
    <row r="33">
      <c r="A33" s="10" t="inlineStr">
        <is>
          <t>ENTERPRISE VALUATION</t>
        </is>
      </c>
    </row>
    <row r="34">
      <c r="A34" t="inlineStr">
        <is>
          <t>Sum of PV(FCF) Years 1-5</t>
        </is>
      </c>
      <c r="B34" s="13" t="n">
        <v>-1141905.317190196</v>
      </c>
    </row>
    <row r="35">
      <c r="A35" t="inlineStr">
        <is>
          <t>+ PV of Terminal Value</t>
        </is>
      </c>
      <c r="B35" s="13" t="n">
        <v>716660.1187725908</v>
      </c>
    </row>
    <row r="36">
      <c r="A36" s="20">
        <f> ENTERPRISE VALUE</f>
        <v/>
      </c>
      <c r="B36" s="17" t="n">
        <v>-425245.1984176049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0" t="inlineStr">
        <is>
          <t>ACQUISITION PRICE SENSITIVITY — 5-YEAR IRR</t>
        </is>
      </c>
    </row>
    <row r="3">
      <c r="A3" s="11" t="inlineStr">
        <is>
          <t>IRR by Acquisition Price × Stabilized Revenue Target</t>
        </is>
      </c>
    </row>
    <row r="4">
      <c r="A4" t="inlineStr">
        <is>
          <t>Acquisition Price</t>
        </is>
      </c>
      <c r="B4" s="3" t="inlineStr">
        <is>
          <t>€50K</t>
        </is>
      </c>
      <c r="C4" s="3" t="inlineStr">
        <is>
          <t>€60K</t>
        </is>
      </c>
      <c r="D4" s="3" t="inlineStr">
        <is>
          <t>€70K</t>
        </is>
      </c>
      <c r="E4" s="3" t="inlineStr">
        <is>
          <t>€80K</t>
        </is>
      </c>
      <c r="F4" s="3" t="inlineStr">
        <is>
          <t>€90K</t>
        </is>
      </c>
    </row>
    <row r="5">
      <c r="A5" s="14" t="inlineStr">
        <is>
          <t>€80K</t>
        </is>
      </c>
      <c r="B5" s="21" t="n">
        <v>0.15</v>
      </c>
      <c r="C5" s="22" t="n">
        <v>0.28</v>
      </c>
      <c r="D5" s="22" t="n">
        <v>0.38</v>
      </c>
      <c r="E5" s="22" t="n">
        <v>0.48</v>
      </c>
      <c r="F5" s="22" t="n">
        <v>0.58</v>
      </c>
    </row>
    <row r="6">
      <c r="A6" s="14" t="inlineStr">
        <is>
          <t>€120K</t>
        </is>
      </c>
      <c r="B6" s="23" t="n">
        <v>0.08</v>
      </c>
      <c r="C6" s="21" t="n">
        <v>0.18</v>
      </c>
      <c r="D6" s="22" t="n">
        <v>0.25</v>
      </c>
      <c r="E6" s="22" t="n">
        <v>0.32</v>
      </c>
      <c r="F6" s="22" t="n">
        <v>0.4</v>
      </c>
    </row>
    <row r="7">
      <c r="A7" s="14" t="inlineStr">
        <is>
          <t>€150K</t>
        </is>
      </c>
      <c r="B7" s="23" t="n">
        <v>0.02</v>
      </c>
      <c r="C7" s="21" t="n">
        <v>0.12</v>
      </c>
      <c r="D7" s="21" t="n">
        <v>0.18</v>
      </c>
      <c r="E7" s="22" t="n">
        <v>0.24</v>
      </c>
      <c r="F7" s="22" t="n">
        <v>0.3</v>
      </c>
    </row>
    <row r="8">
      <c r="A8" s="14" t="inlineStr">
        <is>
          <t>€175K</t>
        </is>
      </c>
      <c r="B8" s="24" t="n">
        <v>-0.02</v>
      </c>
      <c r="C8" s="23" t="n">
        <v>0.07000000000000001</v>
      </c>
      <c r="D8" s="21" t="n">
        <v>0.13</v>
      </c>
      <c r="E8" s="21" t="n">
        <v>0.18</v>
      </c>
      <c r="F8" s="22" t="n">
        <v>0.24</v>
      </c>
    </row>
    <row r="9">
      <c r="A9" s="14" t="inlineStr">
        <is>
          <t>€200K</t>
        </is>
      </c>
      <c r="B9" s="24" t="n">
        <v>-0.06</v>
      </c>
      <c r="C9" s="23" t="n">
        <v>0.02</v>
      </c>
      <c r="D9" s="23" t="n">
        <v>0.08</v>
      </c>
      <c r="E9" s="21" t="n">
        <v>0.13</v>
      </c>
      <c r="F9" s="21" t="n">
        <v>0.18</v>
      </c>
    </row>
    <row r="10">
      <c r="A10" s="14" t="inlineStr">
        <is>
          <t>€250K</t>
        </is>
      </c>
      <c r="B10" s="24" t="n">
        <v>-0.18</v>
      </c>
      <c r="C10" s="24" t="n">
        <v>-0.1</v>
      </c>
      <c r="D10" s="24" t="n">
        <v>-0.05</v>
      </c>
      <c r="E10" s="23" t="n">
        <v>0</v>
      </c>
      <c r="F10" s="23" t="n">
        <v>0.05</v>
      </c>
    </row>
    <row r="13">
      <c r="A13" s="2" t="inlineStr">
        <is>
          <t>BREAKEVEN ANALYSIS</t>
        </is>
      </c>
    </row>
    <row r="14">
      <c r="A14" t="inlineStr">
        <is>
          <t>Monthly Breakeven Revenue (Fixed/Variable @ 15%)</t>
        </is>
      </c>
      <c r="B14" s="13" t="n">
        <v>36769</v>
      </c>
    </row>
    <row r="15">
      <c r="A15" t="inlineStr">
        <is>
          <t>Current Revenue</t>
        </is>
      </c>
      <c r="B15" s="13" t="n">
        <v>22500</v>
      </c>
    </row>
    <row r="16">
      <c r="A16" t="inlineStr">
        <is>
          <t>Revenue Gap to Breakeven</t>
        </is>
      </c>
      <c r="B16" s="25" t="n">
        <v>14269</v>
      </c>
    </row>
    <row r="18">
      <c r="A18" s="2" t="inlineStr">
        <is>
          <t>PAYBACK PERIOD BY PRICE &amp; REVENUE</t>
        </is>
      </c>
    </row>
    <row r="19">
      <c r="A19" t="inlineStr">
        <is>
          <t>Payback (Years) to Recover Acquisition Cost</t>
        </is>
      </c>
    </row>
    <row r="20">
      <c r="A20" t="inlineStr">
        <is>
          <t>Acquisition Price</t>
        </is>
      </c>
      <c r="B20" s="3" t="inlineStr">
        <is>
          <t>€50K</t>
        </is>
      </c>
      <c r="C20" s="3" t="inlineStr">
        <is>
          <t>€60K</t>
        </is>
      </c>
      <c r="D20" s="3" t="inlineStr">
        <is>
          <t>€70K</t>
        </is>
      </c>
      <c r="E20" s="3" t="inlineStr">
        <is>
          <t>€80K</t>
        </is>
      </c>
      <c r="F20" s="3" t="inlineStr">
        <is>
          <t>€90K</t>
        </is>
      </c>
    </row>
    <row r="21">
      <c r="A21" s="14" t="inlineStr">
        <is>
          <t>€50K</t>
        </is>
      </c>
      <c r="B21" s="26" t="n">
        <v>3.8</v>
      </c>
      <c r="C21" s="27" t="n">
        <v>2.8</v>
      </c>
      <c r="D21" s="27" t="n">
        <v>2.4</v>
      </c>
      <c r="E21" s="27" t="n">
        <v>2.1</v>
      </c>
      <c r="F21" s="27" t="n">
        <v>1.9</v>
      </c>
    </row>
    <row r="22">
      <c r="A22" s="14" t="inlineStr">
        <is>
          <t>€120K</t>
        </is>
      </c>
      <c r="B22" s="28" t="n">
        <v>5.2</v>
      </c>
      <c r="C22" s="26" t="n">
        <v>3.8</v>
      </c>
      <c r="D22" s="27" t="n">
        <v>2.9</v>
      </c>
      <c r="E22" s="27" t="n">
        <v>2.4</v>
      </c>
      <c r="F22" s="27" t="n">
        <v>2</v>
      </c>
    </row>
    <row r="23">
      <c r="A23" s="14" t="inlineStr">
        <is>
          <t>€150K</t>
        </is>
      </c>
      <c r="B23" s="28" t="n">
        <v>6</v>
      </c>
      <c r="C23" s="28" t="n">
        <v>4.3</v>
      </c>
      <c r="D23" s="26" t="n">
        <v>3.2</v>
      </c>
      <c r="E23" s="27" t="n">
        <v>2.7</v>
      </c>
      <c r="F23" s="27" t="n">
        <v>2.3</v>
      </c>
    </row>
    <row r="24">
      <c r="A24" s="14" t="inlineStr">
        <is>
          <t>€175K</t>
        </is>
      </c>
      <c r="B24" s="28" t="n">
        <v>6.6</v>
      </c>
      <c r="C24" s="28" t="n">
        <v>4.7</v>
      </c>
      <c r="D24" s="26" t="n">
        <v>3.4</v>
      </c>
      <c r="E24" s="27" t="n">
        <v>2.9</v>
      </c>
      <c r="F24" s="27" t="n">
        <v>2.4</v>
      </c>
    </row>
    <row r="25">
      <c r="A25" s="14" t="inlineStr">
        <is>
          <t>€200K</t>
        </is>
      </c>
      <c r="B25" s="28" t="n">
        <v>7.2</v>
      </c>
      <c r="C25" s="28" t="n">
        <v>5.1</v>
      </c>
      <c r="D25" s="26" t="n">
        <v>3.7</v>
      </c>
      <c r="E25" s="26" t="n">
        <v>3.1</v>
      </c>
      <c r="F25" s="27" t="n">
        <v>2.6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RISK ASSESSMENT MATRIX</t>
        </is>
      </c>
    </row>
    <row r="3">
      <c r="A3" s="3" t="inlineStr">
        <is>
          <t>Risk Factor</t>
        </is>
      </c>
      <c r="B3" s="3" t="inlineStr">
        <is>
          <t>Impact (1-10)</t>
        </is>
      </c>
      <c r="C3" s="3" t="inlineStr">
        <is>
          <t>Probability (%)</t>
        </is>
      </c>
      <c r="D3" s="3" t="inlineStr">
        <is>
          <t>Risk Score</t>
        </is>
      </c>
      <c r="E3" s="3" t="inlineStr">
        <is>
          <t>Mitigation</t>
        </is>
      </c>
    </row>
    <row r="4">
      <c r="A4" t="inlineStr">
        <is>
          <t>Rent renegotiation on assignment</t>
        </is>
      </c>
      <c r="B4" s="6" t="n">
        <v>9</v>
      </c>
      <c r="C4" s="29" t="n">
        <v>0.4</v>
      </c>
      <c r="D4" s="30" t="n">
        <v>36</v>
      </c>
      <c r="E4" s="8" t="inlineStr">
        <is>
          <t>Get written landlord commitment BEFORE close</t>
        </is>
      </c>
    </row>
    <row r="5">
      <c r="A5" t="inlineStr">
        <is>
          <t>Revenue ramp 20% slower than projected</t>
        </is>
      </c>
      <c r="B5" s="6" t="n">
        <v>8</v>
      </c>
      <c r="C5" s="29" t="n">
        <v>0.35</v>
      </c>
      <c r="D5" s="30" t="n">
        <v>28</v>
      </c>
      <c r="E5" s="8" t="inlineStr">
        <is>
          <t>Implement KPI gates; hold medical aesthetics spend</t>
        </is>
      </c>
    </row>
    <row r="6">
      <c r="A6" t="inlineStr">
        <is>
          <t>Key therapist turnover</t>
        </is>
      </c>
      <c r="B6" s="6" t="n">
        <v>9</v>
      </c>
      <c r="C6" s="29" t="n">
        <v>0.5</v>
      </c>
      <c r="D6" s="30" t="n">
        <v>45</v>
      </c>
      <c r="E6" s="8" t="inlineStr">
        <is>
          <t>Lock staff with 18-month retention contracts</t>
        </is>
      </c>
    </row>
    <row r="7">
      <c r="A7" t="inlineStr">
        <is>
          <t>Medical aesthetics licensing delay</t>
        </is>
      </c>
      <c r="B7" s="6" t="n">
        <v>7</v>
      </c>
      <c r="C7" s="29" t="n">
        <v>0.4</v>
      </c>
      <c r="D7" s="30" t="n">
        <v>28</v>
      </c>
      <c r="E7" s="8" t="inlineStr">
        <is>
          <t>Pre-apply Month 1; assume 6-month delay</t>
        </is>
      </c>
    </row>
    <row r="8">
      <c r="A8" t="inlineStr">
        <is>
          <t>Equipment valuation overestimated</t>
        </is>
      </c>
      <c r="B8" s="6" t="n">
        <v>8</v>
      </c>
      <c r="C8" s="29" t="n">
        <v>0.3</v>
      </c>
      <c r="D8" s="30" t="n">
        <v>24</v>
      </c>
      <c r="E8" s="8" t="inlineStr">
        <is>
          <t>Commission appraisal BEFORE price agreement</t>
        </is>
      </c>
    </row>
    <row r="9">
      <c r="A9" t="inlineStr">
        <is>
          <t>Competitive price response</t>
        </is>
      </c>
      <c r="B9" s="6" t="n">
        <v>7</v>
      </c>
      <c r="C9" s="29" t="n">
        <v>0.35</v>
      </c>
      <c r="D9" s="30" t="n">
        <v>24.5</v>
      </c>
      <c r="E9" s="8" t="inlineStr">
        <is>
          <t>Differentiate on medical aesthetics offering</t>
        </is>
      </c>
    </row>
    <row r="10">
      <c r="A10" t="inlineStr">
        <is>
          <t>Lease assignment consent refused</t>
        </is>
      </c>
      <c r="B10" s="6" t="n">
        <v>6</v>
      </c>
      <c r="C10" s="29" t="n">
        <v>0.15</v>
      </c>
      <c r="D10" s="30" t="n">
        <v>9</v>
      </c>
      <c r="E10" s="8" t="inlineStr">
        <is>
          <t>Obtain landlord letter BEFORE LOI</t>
        </is>
      </c>
    </row>
    <row r="11">
      <c r="A11" t="inlineStr">
        <is>
          <t>Hidden liabilities surface</t>
        </is>
      </c>
      <c r="B11" s="6" t="n">
        <v>6</v>
      </c>
      <c r="C11" s="29" t="n">
        <v>0.25</v>
      </c>
      <c r="D11" s="30" t="n">
        <v>15</v>
      </c>
      <c r="E11" s="8" t="inlineStr">
        <is>
          <t>Commission full due diligence audit</t>
        </is>
      </c>
    </row>
    <row r="12">
      <c r="A12" t="inlineStr">
        <is>
          <t>Working capital insufficient</t>
        </is>
      </c>
      <c r="B12" s="6" t="n">
        <v>5</v>
      </c>
      <c r="C12" s="29" t="n">
        <v>0.2</v>
      </c>
      <c r="D12" s="30" t="n">
        <v>10</v>
      </c>
      <c r="E12" s="8" t="inlineStr">
        <is>
          <t>Keep €50K contingency; arrange credit line</t>
        </is>
      </c>
    </row>
    <row r="13">
      <c r="A13" t="inlineStr">
        <is>
          <t>Customer concentration risk</t>
        </is>
      </c>
      <c r="B13" s="6" t="n">
        <v>5</v>
      </c>
      <c r="C13" s="29" t="n">
        <v>0.3</v>
      </c>
      <c r="D13" s="30" t="n">
        <v>15</v>
      </c>
      <c r="E13" s="8" t="inlineStr">
        <is>
          <t>Diversify customer base; lock high-value clients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0" t="inlineStr">
        <is>
          <t>OPERATIONAL PERFORMANCE METRICS &amp; BENCHMARKS</t>
        </is>
      </c>
    </row>
    <row r="3">
      <c r="A3" s="2" t="inlineStr">
        <is>
          <t>UTILIZATION &amp; PRODUCTIVITY</t>
        </is>
      </c>
    </row>
    <row r="4">
      <c r="A4" s="3" t="inlineStr">
        <is>
          <t>Metric</t>
        </is>
      </c>
      <c r="B4" s="3" t="inlineStr">
        <is>
          <t>Current</t>
        </is>
      </c>
      <c r="C4" s="3" t="inlineStr">
        <is>
          <t>Target Year 2</t>
        </is>
      </c>
      <c r="D4" s="3" t="inlineStr">
        <is>
          <t>Benchmark</t>
        </is>
      </c>
    </row>
    <row r="5">
      <c r="A5" t="inlineStr">
        <is>
          <t>Therapist Utilization Rate</t>
        </is>
      </c>
      <c r="B5" s="29" t="n">
        <v>0.55</v>
      </c>
      <c r="C5" s="21" t="n">
        <v>0.65</v>
      </c>
      <c r="D5" s="6" t="inlineStr">
        <is>
          <t>60-75%</t>
        </is>
      </c>
    </row>
    <row r="6">
      <c r="A6" t="inlineStr">
        <is>
          <t>Revenue per Therapist/Month</t>
        </is>
      </c>
      <c r="B6" s="4" t="n">
        <v>7500</v>
      </c>
      <c r="C6" s="31" t="n">
        <v>11667</v>
      </c>
      <c r="D6" s="6" t="inlineStr">
        <is>
          <t>€10-15K</t>
        </is>
      </c>
    </row>
    <row r="7">
      <c r="A7" t="inlineStr">
        <is>
          <t>Average Treatment Price</t>
        </is>
      </c>
      <c r="B7" s="4" t="n">
        <v>75</v>
      </c>
      <c r="C7" s="32" t="n">
        <v>85</v>
      </c>
      <c r="D7" s="6" t="inlineStr">
        <is>
          <t>€75-100</t>
        </is>
      </c>
    </row>
    <row r="8">
      <c r="A8" t="inlineStr">
        <is>
          <t>Customer Repeat Rate</t>
        </is>
      </c>
      <c r="B8" s="29" t="n">
        <v>0.35</v>
      </c>
      <c r="C8" s="24" t="n">
        <v>0.6</v>
      </c>
      <c r="D8" s="6" t="inlineStr">
        <is>
          <t>&gt;60%</t>
        </is>
      </c>
    </row>
    <row r="9">
      <c r="A9" t="inlineStr">
        <is>
          <t>NPS (Net Promoter Score)</t>
        </is>
      </c>
      <c r="B9" s="7" t="n">
        <v>45</v>
      </c>
      <c r="C9" s="28" t="n">
        <v>70</v>
      </c>
      <c r="D9" s="6" t="inlineStr">
        <is>
          <t>65-75</t>
        </is>
      </c>
    </row>
    <row r="10">
      <c r="A10" t="inlineStr">
        <is>
          <t>Staff Turnover (Annual %)</t>
        </is>
      </c>
      <c r="B10" s="29" t="n">
        <v>0.25</v>
      </c>
      <c r="C10" s="22" t="n">
        <v>0.05</v>
      </c>
      <c r="D10" s="6" t="inlineStr">
        <is>
          <t>&lt;10%</t>
        </is>
      </c>
    </row>
    <row r="11">
      <c r="A11" t="inlineStr">
        <is>
          <t>Customer Acquisition Cost</t>
        </is>
      </c>
      <c r="B11" s="4" t="n">
        <v>150</v>
      </c>
      <c r="C11" s="5" t="n">
        <v>125</v>
      </c>
      <c r="D11" s="6" t="inlineStr">
        <is>
          <t>€100-150</t>
        </is>
      </c>
    </row>
    <row r="12">
      <c r="A12" t="inlineStr">
        <is>
          <t>Customer Lifetime Value</t>
        </is>
      </c>
      <c r="B12" s="4" t="n">
        <v>500</v>
      </c>
      <c r="C12" s="31" t="n">
        <v>800</v>
      </c>
      <c r="D12" s="6" t="inlineStr">
        <is>
          <t>€800-1200</t>
        </is>
      </c>
    </row>
    <row r="13">
      <c r="A13" t="inlineStr">
        <is>
          <t>EBITDA Margin</t>
        </is>
      </c>
      <c r="B13" s="29" t="n">
        <v>-0.15</v>
      </c>
      <c r="C13" s="24" t="n">
        <v>0.35</v>
      </c>
      <c r="D13" s="6" t="inlineStr">
        <is>
          <t>30-40%</t>
        </is>
      </c>
    </row>
    <row r="16">
      <c r="A16" s="2" t="inlineStr">
        <is>
          <t>MONTHLY OPERATING MODEL (Year 2 Stabilized — €70K Revenue)</t>
        </is>
      </c>
    </row>
    <row r="17">
      <c r="A17" s="3" t="inlineStr">
        <is>
          <t>Component</t>
        </is>
      </c>
      <c r="B17" s="3" t="inlineStr">
        <is>
          <t>Monthly €</t>
        </is>
      </c>
      <c r="C17" s="3" t="inlineStr">
        <is>
          <t>% of Revenue</t>
        </is>
      </c>
    </row>
    <row r="18">
      <c r="A18" t="inlineStr">
        <is>
          <t>Revenue</t>
        </is>
      </c>
      <c r="B18" s="5" t="n">
        <v>70000</v>
      </c>
      <c r="C18" s="6" t="inlineStr">
        <is>
          <t>100%</t>
        </is>
      </c>
    </row>
    <row r="19">
      <c r="A19" t="inlineStr">
        <is>
          <t>Fixed Costs</t>
        </is>
      </c>
      <c r="B19" s="31" t="n">
        <v>-17400</v>
      </c>
      <c r="C19" s="6" t="inlineStr">
        <is>
          <t>-25%</t>
        </is>
      </c>
    </row>
    <row r="20">
      <c r="A20" t="inlineStr">
        <is>
          <t>Variable Costs (15%)</t>
        </is>
      </c>
      <c r="B20" s="31" t="n">
        <v>-10500</v>
      </c>
      <c r="C20" s="6" t="inlineStr">
        <is>
          <t>-15%</t>
        </is>
      </c>
    </row>
    <row r="21">
      <c r="A21" s="14" t="inlineStr">
        <is>
          <t>EBITDA</t>
        </is>
      </c>
      <c r="B21" s="5" t="n">
        <v>42100</v>
      </c>
      <c r="C21" s="6" t="inlineStr">
        <is>
          <t>60%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2026-02-22T05:05:06Z</dcterms:created>
  <dcterms:modified xsi:type="dcterms:W3CDTF">2026-02-22T05:05:06Z</dcterms:modified>
</cp:coreProperties>
</file>